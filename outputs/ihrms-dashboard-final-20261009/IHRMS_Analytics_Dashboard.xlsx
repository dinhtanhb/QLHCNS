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668600abc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743297012b4ea6"/>
    <x:sheet xmlns:r="http://schemas.openxmlformats.org/officeDocument/2006/relationships" name="Data &amp; Targets" sheetId="2" r:id="Rcab083ffb1034a71"/>
    <x:sheet xmlns:r="http://schemas.openxmlformats.org/officeDocument/2006/relationships" name="_Chart Helpers" sheetId="3" r:id="Rb52a89415f8d49f0"/>
  </x:sheets>
</x:workbook>
</file>

<file path=xl/sharedStrings.xml><?xml version="1.0" encoding="utf-8"?>
<x:sst xmlns:x="http://schemas.openxmlformats.org/spreadsheetml/2006/main">
  <x:si>
    <x:t xml:space="preserve">Choose Selected Period in C8. Dashboard KPIs, comparisons, variance status, funnel, and mix recalculate from that period.</x:t>
  </x:si>
  <x:si>
    <x:t xml:space="preserve">Synthetic generic example data for template review; replace only yellow inputs.</x:t>
  </x:si>
  <x:si>
    <x:t xml:space="preserve">FUNNEL DRIVERS — EDIT YELLOW CELLS</x:t>
  </x:si>
</x:sst>
</file>

<file path=xl/styles.xml><?xml version="1.0" encoding="utf-8"?>
<x:styleSheet xmlns:x="http://schemas.openxmlformats.org/spreadsheetml/2006/main">
  <x:numFmts count="12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0.0%"/>
    <x:numFmt numFmtId="201" formatCode="#,##0"/>
    <x:numFmt numFmtId="202" formatCode="+0.0%;-0.0%;0.0%"/>
    <x:numFmt numFmtId="203" formatCode="mmm yyyy"/>
  </x:numFmts>
  <x:fonts count="22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1"/>
      <x:color rgb="FF1F2937"/>
      <x:name val="Arial"/>
    </x:font>
    <x:font>
      <x:sz val="9"/>
      <x:color rgb="FF1F293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1" fillId="10" borderId="9" xfId="0" applyNumberFormat="1" applyFont="1" applyFill="1" applyBorder="1" applyAlignment="1">
      <x:alignment horizontal="left" vertical="center"/>
    </x:xf>
    <x:xf numFmtId="201" fontId="11" fillId="10" borderId="9" xfId="0" applyNumberFormat="1" applyFont="1" applyFill="1" applyBorder="1" applyAlignment="1">
      <x:alignment horizontal="left" vertical="center"/>
    </x:xf>
    <x:xf numFmtId="202" fontId="12" fillId="10" borderId="11" xfId="0" applyNumberFormat="1" applyFont="1" applyFill="1" applyBorder="1" applyAlignment="1">
      <x:alignment horizontal="right" vertical="center"/>
    </x:xf>
    <x:xf numFmtId="202" fontId="5" fillId="10" borderId="12" xfId="0" applyNumberFormat="1" applyFont="1" applyFill="1" applyBorder="1" applyAlignment="1">
      <x:alignment horizontal="right" vertical="center"/>
    </x:xf>
    <x:xf numFmtId="203" fontId="5" fillId="3" borderId="1" xfId="0" applyNumberFormat="1" applyFont="1" applyFill="1" applyBorder="1" applyAlignment="1">
      <x:alignment horizontal="left" vertical="center" wrapText="1"/>
    </x:xf>
    <x:xf numFmtId="203" fontId="18" fillId="5" borderId="2" xfId="0" applyNumberFormat="1" applyFont="1" applyFill="1" applyBorder="1" applyAlignment="1">
      <x:alignment horizontal="left" vertical="center"/>
    </x:xf>
    <x:xf numFmtId="203" fontId="17" fillId="6" borderId="1" xfId="0" applyNumberFormat="1" applyFont="1" applyFill="1" applyBorder="1" applyAlignment="1">
      <x:alignment horizontal="left" vertical="center"/>
    </x:xf>
    <x:xf numFmtId="203" fontId="18" fillId="5" borderId="2" xfId="0" applyNumberFormat="1" applyFont="1" applyFill="1" applyBorder="1" applyAlignment="1">
      <x:alignment horizontal="right" vertical="center"/>
    </x:xf>
    <x:xf numFmtId="201" fontId="18" fillId="5" borderId="2" xfId="0" applyNumberFormat="1" applyFont="1" applyFill="1" applyBorder="1" applyAlignment="1">
      <x:alignment horizontal="right" vertical="center"/>
    </x:xf>
    <x:xf numFmtId="200" fontId="18" fillId="5" borderId="2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0" fontId="0" fillId="13" borderId="0" xfId="0" applyNumberFormat="1" applyFont="1" applyFill="1" applyBorder="1" applyAlignment="1">
      <x:alignment vertical="center"/>
    </x:xf>
    <x:xf numFmtId="203" fontId="18" fillId="13" borderId="2" xfId="0" applyNumberFormat="1" applyFont="1" applyFill="1" applyBorder="1" applyAlignment="1">
      <x:alignment horizontal="left" vertical="center"/>
    </x:xf>
    <x:xf numFmtId="0" fontId="20" fillId="13" borderId="0" xfId="0" applyNumberFormat="1" applyFont="1" applyFill="1" applyBorder="1" applyAlignment="1">
      <x:alignment vertical="center"/>
    </x:xf>
    <x:xf numFmtId="203" fontId="21" fillId="13" borderId="2" xfId="0" applyNumberFormat="1" applyFont="1" applyFill="1" applyBorder="1" applyAlignment="1">
      <x:alignment horizontal="left" vertical="center"/>
    </x:xf>
    <x:xf numFmtId="203" fontId="18" fillId="13" borderId="2" xfId="0" applyNumberFormat="1" applyFont="1" applyFill="1" applyBorder="1" applyAlignment="1">
      <x:alignment horizontal="right" vertical="center"/>
    </x:xf>
    <x:xf numFmtId="201" fontId="18" fillId="13" borderId="2" xfId="0" applyNumberFormat="1" applyFont="1" applyFill="1" applyBorder="1" applyAlignment="1">
      <x:alignment horizontal="right" vertical="center"/>
    </x:xf>
    <x:xf numFmtId="200" fontId="18" fillId="13" borderId="2" xfId="0" applyNumberFormat="1" applyFont="1" applyFill="1" applyBorder="1" applyAlignment="1">
      <x:alignment horizontal="right" vertical="center"/>
    </x:xf>
    <x:xf numFmtId="203" fontId="21" fillId="13" borderId="2" xfId="0" applyNumberFormat="1" applyFont="1" applyFill="1" applyBorder="1" applyAlignment="1">
      <x:alignment horizontal="right" vertical="center"/>
    </x:xf>
    <x:xf numFmtId="201" fontId="21" fillId="13" borderId="2" xfId="0" applyNumberFormat="1" applyFont="1" applyFill="1" applyBorder="1" applyAlignment="1">
      <x:alignment horizontal="right" vertical="center"/>
    </x:xf>
    <x:xf numFmtId="200" fontId="21" fillId="13" borderId="2" xfId="0" applyNumberFormat="1" applyFont="1" applyFill="1" applyBorder="1" applyAlignment="1">
      <x:alignment horizontal="right" vertical="center"/>
    </x:xf>
    <x:xf numFmtId="201" fontId="0" fillId="13" borderId="0" xfId="0" applyNumberFormat="1" applyFont="1" applyFill="1" applyBorder="1"/>
    <x:xf numFmtId="201" fontId="20" fillId="13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14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horizontal="left" vertical="center"/>
    </x:xf>
    <x:xf numFmtId="0" fontId="8" fillId="14" borderId="0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horizontal="left" vertical="center"/>
    </x:xf>
    <x:xf numFmtId="202" fontId="6" fillId="10" borderId="1" xfId="0" applyNumberFormat="1" applyFont="1" applyFill="1" applyBorder="1" applyAlignment="1">
      <x:alignment horizontal="right" vertical="center"/>
    </x:xf>
    <x:xf numFmtId="201" fontId="6" fillId="10" borderId="1" xfId="0" applyNumberFormat="1" applyFont="1" applyFill="1" applyBorder="1" applyAlignment="1">
      <x:alignment horizontal="right" vertical="center"/>
    </x:xf>
    <x:xf numFmtId="200" fontId="6" fillId="1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0d17e03c5460c" /><Relationship Type="http://schemas.openxmlformats.org/officeDocument/2006/relationships/theme" Target="/xl/theme/theme1.xml" Id="R2e586321ce2e4375" /><Relationship Type="http://schemas.openxmlformats.org/officeDocument/2006/relationships/sharedStrings" Target="/xl/sharedStrings.xml" Id="R0a51a98c6fcc44dd" /><Relationship Type="http://schemas.openxmlformats.org/officeDocument/2006/relationships/worksheet" Target="/xl/worksheets/sheet1.xml" Id="Re3743297012b4ea6" /><Relationship Type="http://schemas.openxmlformats.org/officeDocument/2006/relationships/worksheet" Target="/xl/worksheets/sheet2.xml" Id="Rcab083ffb1034a71" /><Relationship Type="http://schemas.openxmlformats.org/officeDocument/2006/relationships/worksheet" Target="/xl/worksheets/sheet3.xml" Id="Rb52a89415f8d49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040bc3be1b4f50" /><Relationship Type="http://schemas.openxmlformats.org/officeDocument/2006/relationships/chart" Target="/xl/drawings/charts/chart2.xml" Id="Rb1f496b38f1b4d87" /><Relationship Type="http://schemas.openxmlformats.org/officeDocument/2006/relationships/chart" Target="/xl/drawings/charts/chart3.xml" Id="Rd71e860ec4914256" /><Relationship Type="http://schemas.openxmlformats.org/officeDocument/2006/relationships/chart" Target="/xl/drawings/charts/chart4.xml" Id="Rc15499fd6e264799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Quy mô nhân sự so với định biên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Tổng NS</c:v>
          </c:tx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Helpers'!$I$2:$I$13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Định biên</c:v>
          </c:tx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Helpers'!$J$2:$J$13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Chi hành chính so với ngân sách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Chi HC</c:v>
          </c:tx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Helpers'!$M$2:$M$13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Ngân sách</c:v>
          </c:tx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Helpers'!$N$2:$N$13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Phễu tuyển dụng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Số lượng</c:v>
          </c:tx>
          <c:cat>
            <c:strRef>
              <c:f>'_Chart Helpers'!$P$2:$P$6</c:f>
              <c:strCache>
                <c:ptCount val="0"/>
              </c:strCache>
            </c:strRef>
          </c:cat>
          <c:val>
            <c:numRef>
              <c:f>'_Chart Helpers'!$Q$2:$Q$6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Cơ cấu biến động nhân sự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Số lượng</c:v>
          </c:tx>
          <c:cat>
            <c:strRef>
              <c:f>'Data &amp; Targets'!$B$39:$B$42</c:f>
              <c:strCache>
                <c:ptCount val="0"/>
              </c:strCache>
            </c:strRef>
          </c:cat>
          <c:val>
            <c:numRef>
              <c:f>'Data &amp; Targets'!$C$39:$C$42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040bc3be1b4f50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496b38f1b4d87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1e860ec4914256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5499fd6e2647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a29216299049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IHRMS — Bảng điều hành tổng hợp</x:v>
      </x:c>
      <x:c r="C2" s="39"/>
      <x:c r="D2" s="39"/>
      <x:c r="E2" s="39"/>
      <x:c r="F2" s="39"/>
      <x:c r="G2" s="39"/>
      <x:c r="H2" s="39"/>
      <x:c r="I2" s="39"/>
      <x:c r="J2" s="40" t="str">
        <x:v>KỲ BÁO CÁO ĐƯỢC CHỌN</x:v>
      </x:c>
      <x:c r="K2" s="41"/>
      <x:c r="L2" s="41"/>
      <x:c r="M2" s="42"/>
      <x:c r="N2" s="40" t="str">
        <x:v>DỮ LIỆU CẬP NHẬT ĐẾN</x:v>
      </x:c>
      <x:c r="O2" s="41"/>
      <x:c r="P2" s="41"/>
      <x:c r="Q2" s="42"/>
    </x:row>
    <x:row r="3" ht="24" customHeight="1">
      <x:c r="B3" s="38" t="str">
        <x:v>Nhân sự • Tuyển dụng • Hành chính • Tài sản • Công việc</x:v>
      </x:c>
      <x:c r="C3" s="38"/>
      <x:c r="D3" s="38"/>
      <x:c r="E3" s="38"/>
      <x:c r="F3" s="38"/>
      <x:c r="G3" s="38"/>
      <x:c r="H3" s="38"/>
      <x:c r="I3" s="38"/>
      <x:c r="J3" s="43" t="n">
        <x:f>'Data &amp; Targets'!C9</x:f>
        <x:v>46357</x:v>
      </x:c>
      <x:c r="K3" s="44"/>
      <x:c r="L3" s="44"/>
      <x:c r="M3" s="45"/>
      <x:c r="N3" s="43" t="n">
        <x:f>'Data &amp; Targets'!C9</x:f>
        <x:v>46357</x:v>
      </x:c>
      <x:c r="O3" s="44"/>
      <x:c r="P3" s="44"/>
      <x:c r="Q3" s="45"/>
    </x:row>
    <x:row r="4" ht="20" customHeight="1">
      <x:c r="B4" s="46" t="str">
        <x:v>Nguồn: DỮ LIỆU MINH HỌA để duyệt mẫu; thay thế các ô màu vàng tại trang Data &amp; Targets.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TỔNG NHÂN SỰ</x:v>
      </x:c>
      <x:c r="C5" s="48"/>
      <x:c r="D5" s="48"/>
      <x:c r="E5" s="49"/>
      <x:c r="F5" s="47" t="str">
        <x:v>TUYỂN MỚI</x:v>
      </x:c>
      <x:c r="G5" s="48"/>
      <x:c r="H5" s="48"/>
      <x:c r="I5" s="49"/>
      <x:c r="J5" s="47" t="str">
        <x:v>TỶ LỆ NGHỈ VIỆC</x:v>
      </x:c>
      <x:c r="K5" s="48"/>
      <x:c r="L5" s="48"/>
      <x:c r="M5" s="49"/>
      <x:c r="N5" s="47" t="str">
        <x:v>ỨNG VIÊN ĐANG XỬ LÝ</x:v>
      </x:c>
      <x:c r="O5" s="48"/>
      <x:c r="P5" s="48"/>
      <x:c r="Q5" s="49"/>
    </x:row>
    <x:row r="6" ht="27" customHeight="1">
      <x:c r="B6" s="90" t="n">
        <x:f>'_Chart Helpers'!B2</x:f>
        <x:v>186</x:v>
      </x:c>
      <x:c r="C6" s="51"/>
      <x:c r="D6" s="51"/>
      <x:c r="E6" s="52"/>
      <x:c r="F6" s="90" t="n">
        <x:f>'_Chart Helpers'!B3</x:f>
        <x:v>6</x:v>
      </x:c>
      <x:c r="G6" s="51"/>
      <x:c r="H6" s="51"/>
      <x:c r="I6" s="52"/>
      <x:c r="J6" s="89" t="n">
        <x:f>'_Chart Helpers'!B4</x:f>
        <x:v>0.010752688172043012</x:v>
      </x:c>
      <x:c r="K6" s="54"/>
      <x:c r="L6" s="54"/>
      <x:c r="M6" s="55"/>
      <x:c r="N6" s="90" t="n">
        <x:f>'_Chart Helpers'!B5</x:f>
        <x:v>55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91" t="n">
        <x:f>IF('_Chart Helpers'!D2="","",'_Chart Helpers'!B2/'_Chart Helpers'!D2-1)</x:f>
        <x:v>0.010869565217391353</x:v>
      </x:c>
      <x:c r="C8" s="14" t="str">
        <x:v>so kỳ trước</x:v>
      </x:c>
      <x:c r="D8" s="92" t="n">
        <x:f>IFERROR('_Chart Helpers'!B2/'_Chart Helpers'!C2-1,"")</x:f>
        <x:v>0</x:v>
      </x:c>
      <x:c r="E8" s="16" t="str">
        <x:v>so mục tiêu</x:v>
      </x:c>
      <x:c r="F8" s="91" t="n">
        <x:f>IF('_Chart Helpers'!D3="","",'_Chart Helpers'!B3/'_Chart Helpers'!D3-1)</x:f>
        <x:v>0.5</x:v>
      </x:c>
      <x:c r="G8" s="14" t="str">
        <x:v>so kỳ trước</x:v>
      </x:c>
      <x:c r="H8" s="92" t="n">
        <x:f>IFERROR('_Chart Helpers'!B3/'_Chart Helpers'!C3-1,"")</x:f>
        <x:v>0</x:v>
      </x:c>
      <x:c r="I8" s="16" t="str">
        <x:v>so mục tiêu</x:v>
      </x:c>
      <x:c r="J8" s="91" t="n">
        <x:f>IF('_Chart Helpers'!D4="","",'_Chart Helpers'!B4/'_Chart Helpers'!D4-1)</x:f>
        <x:v>-0.3405017921146952</x:v>
      </x:c>
      <x:c r="K8" s="14" t="str">
        <x:v>so kỳ trước</x:v>
      </x:c>
      <x:c r="L8" s="92" t="n">
        <x:f>IFERROR('_Chart Helpers'!B4/'_Chart Helpers'!C4-1,"")</x:f>
        <x:v>-0.33333333333333326</x:v>
      </x:c>
      <x:c r="M8" s="16" t="str">
        <x:v>so mục tiêu</x:v>
      </x:c>
      <x:c r="N8" s="91" t="n">
        <x:f>IF('_Chart Helpers'!D5="","",'_Chart Helpers'!B5/'_Chart Helpers'!D5-1)</x:f>
        <x:v>0.17021276595744683</x:v>
      </x:c>
      <x:c r="O8" s="14" t="str">
        <x:v>so kỳ trước</x:v>
      </x:c>
      <x:c r="P8" s="92" t="n">
        <x:f>IFERROR('_Chart Helpers'!B5/'_Chart Helpers'!C5-1,"")</x:f>
        <x:v>0</x:v>
      </x:c>
      <x:c r="Q8" s="16" t="str">
        <x:v>so mục tiêu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HOÀN THÀNH CÔNG VIỆC</x:v>
      </x:c>
      <x:c r="C10" s="48"/>
      <x:c r="D10" s="48"/>
      <x:c r="E10" s="49"/>
      <x:c r="F10" s="47" t="str">
        <x:v>CHI HÀNH CHÍNH (TRIỆU Đ)</x:v>
      </x:c>
      <x:c r="G10" s="48"/>
      <x:c r="H10" s="48"/>
      <x:c r="I10" s="49"/>
      <x:c r="J10" s="47" t="str">
        <x:v>TÀI SẢN ĐANG SỬ DỤNG</x:v>
      </x:c>
      <x:c r="K10" s="48"/>
      <x:c r="L10" s="48"/>
      <x:c r="M10" s="49"/>
      <x:c r="N10" s="47" t="str">
        <x:v>SỬ DỤNG NGÂN SÁCH HC</x:v>
      </x:c>
      <x:c r="O10" s="48"/>
      <x:c r="P10" s="48"/>
      <x:c r="Q10" s="49"/>
    </x:row>
    <x:row r="11" ht="27" customHeight="1">
      <x:c r="B11" s="89" t="n">
        <x:f>'_Chart Helpers'!B6</x:f>
        <x:v>0.91</x:v>
      </x:c>
      <x:c r="C11" s="79"/>
      <x:c r="D11" s="79"/>
      <x:c r="E11" s="80"/>
      <x:c r="F11" s="90" t="n">
        <x:f>'_Chart Helpers'!B7</x:f>
        <x:v>238</x:v>
      </x:c>
      <x:c r="G11" s="82"/>
      <x:c r="H11" s="82"/>
      <x:c r="I11" s="83"/>
      <x:c r="J11" s="90" t="n">
        <x:f>'_Chart Helpers'!B8</x:f>
        <x:v>276</x:v>
      </x:c>
      <x:c r="K11" s="54"/>
      <x:c r="L11" s="54"/>
      <x:c r="M11" s="55"/>
      <x:c r="N11" s="89" t="n">
        <x:f>'_Chart Helpers'!B9</x:f>
        <x:v>0.9916666666666667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91" t="n">
        <x:f>IF('_Chart Helpers'!D6="","",'_Chart Helpers'!B6/'_Chart Helpers'!D6-1)</x:f>
        <x:v>0.011111111111111072</x:v>
      </x:c>
      <x:c r="C13" s="14" t="str">
        <x:v>so kỳ trước</x:v>
      </x:c>
      <x:c r="D13" s="92" t="n">
        <x:f>IFERROR('_Chart Helpers'!B6/'_Chart Helpers'!C6-1,"")</x:f>
        <x:v>0</x:v>
      </x:c>
      <x:c r="E13" s="16" t="str">
        <x:v>so mục tiêu</x:v>
      </x:c>
      <x:c r="F13" s="91" t="n">
        <x:f>IF('_Chart Helpers'!D7="","",'_Chart Helpers'!B7/'_Chart Helpers'!D7-1)</x:f>
        <x:v>0.0625</x:v>
      </x:c>
      <x:c r="G13" s="14" t="str">
        <x:v>so kỳ trước</x:v>
      </x:c>
      <x:c r="H13" s="92" t="n">
        <x:f>IFERROR('_Chart Helpers'!B7/'_Chart Helpers'!C7-1,"")</x:f>
        <x:v>-0.008333333333333304</x:v>
      </x:c>
      <x:c r="I13" s="16" t="str">
        <x:v>so mục tiêu</x:v>
      </x:c>
      <x:c r="J13" s="91" t="n">
        <x:f>IF('_Chart Helpers'!D8="","",'_Chart Helpers'!B8/'_Chart Helpers'!D8-1)</x:f>
        <x:v>0.01098901098901095</x:v>
      </x:c>
      <x:c r="K13" s="14" t="str">
        <x:v>so kỳ trước</x:v>
      </x:c>
      <x:c r="L13" s="92" t="n">
        <x:f>IFERROR('_Chart Helpers'!B8/'_Chart Helpers'!C8-1,"")</x:f>
        <x:v>0</x:v>
      </x:c>
      <x:c r="M13" s="16" t="str">
        <x:v>so mục tiêu</x:v>
      </x:c>
      <x:c r="N13" s="91" t="n">
        <x:f>IF('_Chart Helpers'!D9="","",'_Chart Helpers'!B9/'_Chart Helpers'!D9-1)</x:f>
        <x:v>0.04036458333333326</x:v>
      </x:c>
      <x:c r="O13" s="14" t="str">
        <x:v>so kỳ trước</x:v>
      </x:c>
      <x:c r="P13" s="92" t="n">
        <x:f>IFERROR('_Chart Helpers'!B9/'_Chart Helpers'!C9-1,"")</x:f>
        <x:v>0.10185185185185186</x:v>
      </x:c>
      <x:c r="Q13" s="16" t="str">
        <x:v>so mục tiêu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QUY MÔ NHÂN SỰ — THỰC TẾ SO VỚI ĐỊNH BIÊN</x:v>
      </x:c>
      <x:c r="C15" s="56"/>
      <x:c r="D15" s="56"/>
      <x:c r="E15" s="56"/>
      <x:c r="F15" s="56"/>
      <x:c r="G15" s="56"/>
      <x:c r="H15" s="56"/>
      <x:c r="I15" s="56"/>
      <x:c r="J15" s="56" t="str">
        <x:v>CHI HÀNH CHÍNH — THỰC TẾ SO VỚI NGÂN SÁCH</x:v>
      </x:c>
      <x:c r="K15" s="56"/>
      <x:c r="L15" s="56"/>
      <x:c r="M15" s="56"/>
      <x:c r="N15" s="56"/>
      <x:c r="O15" s="56"/>
      <x:c r="P15" s="56"/>
      <x:c r="Q15" s="56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PHỄU TUYỂN DỤNG — KỲ ĐƯỢC CHỌN</x:v>
      </x:c>
      <x:c r="C29" s="56"/>
      <x:c r="D29" s="56"/>
      <x:c r="E29" s="56"/>
      <x:c r="F29" s="56"/>
      <x:c r="G29" s="56"/>
      <x:c r="H29" s="56"/>
      <x:c r="I29" s="56"/>
      <x:c r="J29" s="56" t="str">
        <x:v>CƠ CẤU BIẾN ĐỘNG NHÂN SỰ</x:v>
      </x:c>
      <x:c r="K29" s="56"/>
      <x:c r="L29" s="56"/>
      <x:c r="M29" s="56"/>
      <x:c r="N29" s="56"/>
      <x:c r="O29" s="56"/>
      <x:c r="P29" s="56"/>
      <x:c r="Q29" s="56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SO SÁNH CHỈ TIÊU KỲ ĐƯỢC CHỌN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Chỉ tiêu</x:v>
      </x:c>
      <x:c r="C44" s="17" t="str">
        <x:v>Chiều tốt</x:v>
      </x:c>
      <x:c r="D44" s="17" t="str">
        <x:v>Thực tế</x:v>
      </x:c>
      <x:c r="E44" s="17" t="str">
        <x:v>Mục tiêu</x:v>
      </x:c>
      <x:c r="F44" s="17" t="str">
        <x:v>Chênh lệch</x:v>
      </x:c>
      <x:c r="G44" s="17" t="str">
        <x:v>Chênh lệch %</x:v>
      </x:c>
      <x:c r="H44" s="17" t="str">
        <x:v>Trạng thái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Helpers'!A2</x:f>
        <x:v>Tổng nhân sự</x:v>
      </x:c>
      <x:c r="C45" s="19" t="str">
        <x:f>'_Chart Helpers'!E2</x:f>
        <x:v>Cao hơn</x:v>
      </x:c>
      <x:c r="D45" s="123" t="n">
        <x:f>'_Chart Helpers'!B2</x:f>
        <x:v>186</x:v>
      </x:c>
      <x:c r="E45" s="123" t="n">
        <x:f>'_Chart Helpers'!C2</x:f>
        <x:v>186</x:v>
      </x:c>
      <x:c r="F45" s="123" t="n">
        <x:f t="shared" ref="F45:F52" si="0">D45-E45</x:f>
        <x:v>0</x:v>
      </x:c>
      <x:c r="G45" s="122" t="n">
        <x:f t="shared" ref="G45:G52" si="1">IFERROR(D45/E45-1,"")</x:f>
        <x:v>0</x:v>
      </x:c>
      <x:c r="H45" s="19" t="str">
        <x:f>'_Chart Helpers'!F2</x:f>
        <x:v>Tốt</x:v>
      </x:c>
      <x:c r="I45" s="12"/>
      <x:c r="J45" s="57" t="str">
        <x:v>Phạm vi: nhân sự, tuyển dụng, chấm công/nghỉ phép, hành chính, tài sản, ngân sách, công việc/KPI, đào tạo và kế hoạch. Dashboard ưu tiên tám chỉ tiêu tổng hợp; dữ liệu chi tiết vẫn được nhập tại trang Data &amp; Targets.</x:v>
      </x:c>
      <x:c r="K45" s="58"/>
      <x:c r="L45" s="58"/>
      <x:c r="M45" s="58"/>
      <x:c r="N45" s="58"/>
      <x:c r="O45" s="58"/>
      <x:c r="P45" s="58"/>
      <x:c r="Q45" s="59"/>
    </x:row>
    <x:row r="46">
      <x:c r="B46" s="18" t="str">
        <x:f>'_Chart Helpers'!A3</x:f>
        <x:v>Tuyển mới</x:v>
      </x:c>
      <x:c r="C46" s="19" t="str">
        <x:f>'_Chart Helpers'!E3</x:f>
        <x:v>Cao hơn</x:v>
      </x:c>
      <x:c r="D46" s="123" t="n">
        <x:f>'_Chart Helpers'!B3</x:f>
        <x:v>6</x:v>
      </x:c>
      <x:c r="E46" s="123" t="n">
        <x:f>'_Chart Helpers'!C3</x:f>
        <x:v>6</x:v>
      </x:c>
      <x:c r="F46" s="123" t="n">
        <x:f t="shared" si="0">D46-E46</x:f>
        <x:v>0</x:v>
      </x:c>
      <x:c r="G46" s="122" t="n">
        <x:f t="shared" si="1">IFERROR(D46/E46-1,"")</x:f>
        <x:v>0</x:v>
      </x:c>
      <x:c r="H46" s="19" t="str">
        <x:f>'_Chart Helpers'!F3</x:f>
        <x:v>Tốt</x:v>
      </x:c>
      <x:c r="I46" s="12"/>
      <x:c r="J46" s="60" t="str">
        <x:v>Quy ước: chỉ tiêu 'Cao hơn' đạt khi thực tế ≥ mục tiêu; 'Thấp hơn' đạt khi thực tế ≤ mục tiêu. Vùng Theo dõi nằm trong sai lệch 5%.</x:v>
      </x:c>
      <x:c r="K46" s="61"/>
      <x:c r="L46" s="61"/>
      <x:c r="M46" s="61"/>
      <x:c r="N46" s="61"/>
      <x:c r="O46" s="61"/>
      <x:c r="P46" s="61"/>
      <x:c r="Q46" s="62"/>
    </x:row>
    <x:row r="47">
      <x:c r="B47" s="18" t="str">
        <x:f>'_Chart Helpers'!A4</x:f>
        <x:v>Tỷ lệ nghỉ việc</x:v>
      </x:c>
      <x:c r="C47" s="19" t="str">
        <x:f>'_Chart Helpers'!E4</x:f>
        <x:v>Thấp hơn</x:v>
      </x:c>
      <x:c r="D47" s="124" t="n">
        <x:f>'_Chart Helpers'!B4</x:f>
        <x:v>0.010752688172043012</x:v>
      </x:c>
      <x:c r="E47" s="124" t="n">
        <x:f>'_Chart Helpers'!C4</x:f>
        <x:v>0.016129032258064516</x:v>
      </x:c>
      <x:c r="F47" s="124" t="n">
        <x:f t="shared" si="0">D47-E47</x:f>
        <x:v>-0.005376344086021504</x:v>
      </x:c>
      <x:c r="G47" s="122" t="n">
        <x:f t="shared" si="1">IFERROR(D47/E47-1,"")</x:f>
        <x:v>-0.33333333333333326</x:v>
      </x:c>
      <x:c r="H47" s="19" t="str">
        <x:f>'_Chart Helpers'!F4</x:f>
        <x:v>Tốt</x:v>
      </x:c>
      <x:c r="I47" s="12"/>
      <x:c r="J47" s="60" t="str">
        <x:v>Tất cả số hiện tại là dữ liệu minh họa, không lấy từ cơ sở dữ liệu IHRMS và không được dùng để ra quyết định.</x:v>
      </x:c>
      <x:c r="K47" s="61"/>
      <x:c r="L47" s="61"/>
      <x:c r="M47" s="61"/>
      <x:c r="N47" s="61"/>
      <x:c r="O47" s="61"/>
      <x:c r="P47" s="61"/>
      <x:c r="Q47" s="62"/>
    </x:row>
    <x:row r="48">
      <x:c r="B48" s="18" t="str">
        <x:f>'_Chart Helpers'!A5</x:f>
        <x:v>Ứng viên đang xử lý</x:v>
      </x:c>
      <x:c r="C48" s="19" t="str">
        <x:f>'_Chart Helpers'!E5</x:f>
        <x:v>Cao hơn</x:v>
      </x:c>
      <x:c r="D48" s="123" t="n">
        <x:f>'_Chart Helpers'!B5</x:f>
        <x:v>55</x:v>
      </x:c>
      <x:c r="E48" s="123" t="n">
        <x:f>'_Chart Helpers'!C5</x:f>
        <x:v>55</x:v>
      </x:c>
      <x:c r="F48" s="123" t="n">
        <x:f t="shared" si="0">D48-E48</x:f>
        <x:v>0</x:v>
      </x:c>
      <x:c r="G48" s="122" t="n">
        <x:f t="shared" si="1">IFERROR(D48/E48-1,"")</x:f>
        <x:v>0</x:v>
      </x:c>
      <x:c r="H48" s="19" t="str">
        <x:f>'_Chart Helpers'!F5</x:f>
        <x:v>Tốt</x:v>
      </x:c>
      <x:c r="I48" s="12"/>
      <x:c r="J48" s="63" t="str">
        <x:v>Các phân hệ có trong mã nguồn nhưng chưa có dữ liệu riêng trên mẫu: hợp đồng, lương, công văn, phòng họp, xe, VPP, mua sắm, dự án, sự kiện và đào tạo.</x:v>
      </x:c>
      <x:c r="K48" s="64"/>
      <x:c r="L48" s="64"/>
      <x:c r="M48" s="64"/>
      <x:c r="N48" s="64"/>
      <x:c r="O48" s="64"/>
      <x:c r="P48" s="64"/>
      <x:c r="Q48" s="65"/>
    </x:row>
    <x:row r="49">
      <x:c r="B49" s="18" t="str">
        <x:f>'_Chart Helpers'!A6</x:f>
        <x:v>Hoàn thành công việc</x:v>
      </x:c>
      <x:c r="C49" s="19" t="str">
        <x:f>'_Chart Helpers'!E6</x:f>
        <x:v>Cao hơn</x:v>
      </x:c>
      <x:c r="D49" s="124" t="n">
        <x:f>'_Chart Helpers'!B6</x:f>
        <x:v>0.91</x:v>
      </x:c>
      <x:c r="E49" s="124" t="n">
        <x:f>'_Chart Helpers'!C6</x:f>
        <x:v>0.91</x:v>
      </x:c>
      <x:c r="F49" s="124" t="n">
        <x:f t="shared" si="0">D49-E49</x:f>
        <x:v>0</x:v>
      </x:c>
      <x:c r="G49" s="122" t="n">
        <x:f t="shared" si="1">IFERROR(D49/E49-1,"")</x:f>
        <x:v>0</x:v>
      </x:c>
      <x:c r="H49" s="19" t="str">
        <x:f>'_Chart Helpers'!F6</x:f>
        <x:v>Tốt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Helpers'!A7</x:f>
        <x:v>Chi hành chính (triệu đ)</x:v>
      </x:c>
      <x:c r="C50" s="19" t="str">
        <x:f>'_Chart Helpers'!E7</x:f>
        <x:v>Thấp hơn</x:v>
      </x:c>
      <x:c r="D50" s="123" t="n">
        <x:f>'_Chart Helpers'!B7</x:f>
        <x:v>238</x:v>
      </x:c>
      <x:c r="E50" s="123" t="n">
        <x:f>'_Chart Helpers'!C7</x:f>
        <x:v>240</x:v>
      </x:c>
      <x:c r="F50" s="123" t="n">
        <x:f t="shared" si="0">D50-E50</x:f>
        <x:v>-2</x:v>
      </x:c>
      <x:c r="G50" s="122" t="n">
        <x:f t="shared" si="1">IFERROR(D50/E50-1,"")</x:f>
        <x:v>-0.008333333333333304</x:v>
      </x:c>
      <x:c r="H50" s="19" t="str">
        <x:f>'_Chart Helpers'!F7</x:f>
        <x:v>Tốt</x:v>
      </x:c>
      <x:c r="I50" s="12"/>
      <x:c r="J50" s="66"/>
      <x:c r="K50" s="67"/>
      <x:c r="L50" s="67"/>
      <x:c r="M50" s="67"/>
      <x:c r="N50" s="67"/>
      <x:c r="O50" s="67"/>
      <x:c r="P50" s="67"/>
      <x:c r="Q50" s="68"/>
    </x:row>
    <x:row r="51">
      <x:c r="B51" s="18" t="str">
        <x:f>'_Chart Helpers'!A8</x:f>
        <x:v>Tài sản đang sử dụng</x:v>
      </x:c>
      <x:c r="C51" s="19" t="str">
        <x:f>'_Chart Helpers'!E8</x:f>
        <x:v>Cao hơn</x:v>
      </x:c>
      <x:c r="D51" s="123" t="n">
        <x:f>'_Chart Helpers'!B8</x:f>
        <x:v>276</x:v>
      </x:c>
      <x:c r="E51" s="123" t="n">
        <x:f>'_Chart Helpers'!C8</x:f>
        <x:v>276</x:v>
      </x:c>
      <x:c r="F51" s="123" t="n">
        <x:f t="shared" si="0">D51-E51</x:f>
        <x:v>0</x:v>
      </x:c>
      <x:c r="G51" s="122" t="n">
        <x:f t="shared" si="1">IFERROR(D51/E51-1,"")</x:f>
        <x:v>0</x:v>
      </x:c>
      <x:c r="H51" s="19" t="str">
        <x:f>'_Chart Helpers'!F8</x:f>
        <x:v>Tốt</x:v>
      </x:c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 t="str">
        <x:f>'_Chart Helpers'!A9</x:f>
        <x:v>Sử dụng ngân sách HC</x:v>
      </x:c>
      <x:c r="C52" s="19" t="str">
        <x:f>'_Chart Helpers'!E9</x:f>
        <x:v>Thấp hơn</x:v>
      </x:c>
      <x:c r="D52" s="124" t="n">
        <x:f>'_Chart Helpers'!B9</x:f>
        <x:v>0.9916666666666667</x:v>
      </x:c>
      <x:c r="E52" s="124" t="n">
        <x:f>'_Chart Helpers'!C9</x:f>
        <x:v>0.9</x:v>
      </x:c>
      <x:c r="F52" s="124" t="n">
        <x:f t="shared" si="0">D52-E52</x:f>
        <x:v>0.09166666666666667</x:v>
      </x:c>
      <x:c r="G52" s="122" t="n">
        <x:f t="shared" si="1">IFERROR(D52/E52-1,"")</x:f>
        <x:v>0.10185185185185186</x:v>
      </x:c>
      <x:c r="H52" s="19" t="str">
        <x:f>'_Chart Helpers'!F9</x:f>
        <x:v>Không đạt</x:v>
      </x:c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2ba29216299049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tr">
        <x:v>IHRMS — Dữ liệu và chỉ tiêu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DỮ LIỆU MINH HỌA. Thay các ô màu vàng; công thức và biểu đồ trên Dashboard sẽ tự cập nhật.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HƯỚNG DẪN</x:v>
      </x:c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</x:row>
    <x:row r="6" ht="22" customHeight="1">
      <x:c r="B6" s="88" t="str">
        <x:v>Thay dữ liệu minh họa trong các ô màu vàng. Giữ cột tháng là ngày đầu tháng để biểu đồ và công thức hoạt động đúng.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22" customHeight="1">
      <x:c r="B7" s="88" t="str">
        <x:v>THAM SỐ</x:v>
      </x:c>
      <x:c r="C7" s="88" t="str">
        <x:v>GIÁ TRỊ</x:v>
      </x:c>
      <x:c r="D7" s="88" t="s">
        <x:v>0</x:v>
      </x:c>
      <x:c r="E7" s="88" t="s">
        <x:v>0</x:v>
      </x:c>
      <x:c r="F7" s="88" t="s">
        <x:v>0</x:v>
      </x:c>
      <x:c r="G7" s="88" t="s">
        <x:v>0</x:v>
      </x:c>
      <x:c r="H7" s="88" t="s">
        <x:v>0</x:v>
      </x:c>
      <x:c r="I7" s="88" t="s">
        <x:v>0</x:v>
      </x:c>
      <x:c r="J7" s="88" t="s">
        <x:v>0</x:v>
      </x:c>
      <x:c r="K7" s="88" t="s">
        <x:v>0</x:v>
      </x:c>
      <x:c r="L7" s="88" t="s">
        <x:v>0</x:v>
      </x:c>
      <x:c r="M7" s="88" t="s">
        <x:v>0</x:v>
      </x:c>
      <x:c r="N7" s="88" t="s">
        <x:v>0</x:v>
      </x:c>
      <x:c r="O7" s="88" t="s">
        <x:v>0</x:v>
      </x:c>
      <x:c r="P7" s="88" t="s">
        <x:v>0</x:v>
      </x:c>
    </x:row>
    <x:row r="8">
      <x:c r="B8" s="28" t="str">
        <x:v>Năm báo cáo</x:v>
      </x:c>
      <x:c r="C8" s="102" t="n">
        <x:v>2026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93" t="str">
        <x:v>Kỳ báo cáo</x:v>
      </x:c>
      <x:c r="C9" s="103" t="n">
        <x:v>46357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Dữ liệu cập nhật đến</x:v>
      </x:c>
      <x:c r="C10" s="95" t="n">
        <x:v>46357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Ghi chú nguồn</x:v>
      </x:c>
      <x:c r="C11" s="84" t="str">
        <x:v>Dữ liệu tổng hợp từ các phân hệ IHRMS; mẫu hiện dùng số minh họa.</x:v>
      </x:c>
      <x:c r="D11" s="84" t="s">
        <x:v>1</x:v>
      </x:c>
      <x:c r="E11" s="84" t="s">
        <x:v>1</x:v>
      </x:c>
      <x:c r="F11" s="84" t="s">
        <x:v>1</x:v>
      </x:c>
      <x:c r="G11" s="84" t="s">
        <x:v>1</x:v>
      </x:c>
      <x:c r="H11" s="84" t="s">
        <x:v>1</x:v>
      </x:c>
      <x:c r="I11" s="84" t="s">
        <x:v>1</x:v>
      </x:c>
      <x:c r="J11" s="84" t="s">
        <x:v>1</x:v>
      </x:c>
      <x:c r="K11" s="84" t="s">
        <x:v>1</x:v>
      </x:c>
      <x:c r="L11" s="84" t="s">
        <x:v>1</x:v>
      </x:c>
      <x:c r="M11" s="84" t="s">
        <x:v>1</x:v>
      </x:c>
      <x:c r="N11" s="84" t="s">
        <x:v>1</x:v>
      </x:c>
      <x:c r="O11" s="84" t="s">
        <x:v>1</x:v>
      </x:c>
      <x:c r="P11" s="84" t="s">
        <x:v>1</x:v>
      </x:c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DỮ LIỆU THỰC TẾ &amp; CHỈ TIÊU — CHỈ SỬA Ô MÀU VÀNG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</x:row>
    <x:row r="14">
      <x:c r="B14" s="28" t="str">
        <x:v>DỮ LIỆU THEO THÁNG</x:v>
      </x:c>
      <x:c r="C14" s="28"/>
      <x:c r="D14" s="28"/>
      <x:c r="E14" s="28"/>
      <x:c r="F14" s="28"/>
      <x:c r="G14" s="28"/>
      <x:c r="H14" s="28"/>
      <x:c r="I14" s="28"/>
      <x:c r="J14" s="28" t="str">
        <x:v>CHỈ TIÊU THEO THÁNG</x:v>
      </x:c>
      <x:c r="K14" s="28"/>
      <x:c r="L14" s="28"/>
      <x:c r="M14" s="28"/>
      <x:c r="N14" s="28"/>
      <x:c r="O14" s="28"/>
      <x:c r="P14" s="28"/>
    </x:row>
    <x:row r="15" ht="34" customHeight="1">
      <x:c r="B15" s="113" t="str">
        <x:v>Tháng</x:v>
      </x:c>
      <x:c r="C15" s="113" t="str">
        <x:v>Tổng NS</x:v>
      </x:c>
      <x:c r="D15" s="113" t="str">
        <x:v>Tuyển mới</x:v>
      </x:c>
      <x:c r="E15" s="113" t="str">
        <x:v>Nghỉ việc</x:v>
      </x:c>
      <x:c r="F15" s="113" t="str">
        <x:v>Ứng viên xử lý</x:v>
      </x:c>
      <x:c r="G15" s="113" t="str">
        <x:v>HT công việc</x:v>
      </x:c>
      <x:c r="H15" s="113" t="str">
        <x:v>Chi HC (triệu đ)</x:v>
      </x:c>
      <x:c r="I15" s="113" t="str">
        <x:v>Tài sản sử dụng</x:v>
      </x:c>
      <x:c r="J15" s="113" t="str">
        <x:v>Định biên</x:v>
      </x:c>
      <x:c r="K15" s="113" t="str">
        <x:v>MT tuyển mới</x:v>
      </x:c>
      <x:c r="L15" s="113" t="str">
        <x:v>Trần nghỉ việc</x:v>
      </x:c>
      <x:c r="M15" s="113" t="str">
        <x:v>MT ứng viên</x:v>
      </x:c>
      <x:c r="N15" s="113" t="str">
        <x:v>MT HT công việc</x:v>
      </x:c>
      <x:c r="O15" s="113" t="str">
        <x:v>NS hành chính</x:v>
      </x:c>
      <x:c r="P15" s="113" t="str">
        <x:v>MT tài sản</x:v>
      </x:c>
    </x:row>
    <x:row r="16">
      <x:c r="B16" s="107" t="n">
        <x:v>46023</x:v>
      </x:c>
      <x:c r="C16" s="108" t="n">
        <x:v>168</x:v>
      </x:c>
      <x:c r="D16" s="108" t="n">
        <x:v>5</x:v>
      </x:c>
      <x:c r="E16" s="108" t="n">
        <x:v>2</x:v>
      </x:c>
      <x:c r="F16" s="108" t="n">
        <x:v>32</x:v>
      </x:c>
      <x:c r="G16" s="109" t="n">
        <x:v>0.79</x:v>
      </x:c>
      <x:c r="H16" s="108" t="n">
        <x:v>182</x:v>
      </x:c>
      <x:c r="I16" s="108" t="n">
        <x:v>248</x:v>
      </x:c>
      <x:c r="J16" s="108" t="n">
        <x:v>170</x:v>
      </x:c>
      <x:c r="K16" s="108" t="n">
        <x:v>5</x:v>
      </x:c>
      <x:c r="L16" s="108" t="n">
        <x:v>3</x:v>
      </x:c>
      <x:c r="M16" s="108" t="n">
        <x:v>35</x:v>
      </x:c>
      <x:c r="N16" s="109" t="n">
        <x:v>0.8</x:v>
      </x:c>
      <x:c r="O16" s="108" t="n">
        <x:v>190</x:v>
      </x:c>
      <x:c r="P16" s="108" t="n">
        <x:v>250</x:v>
      </x:c>
    </x:row>
    <x:row r="17">
      <x:c r="B17" s="107" t="n">
        <x:v>46054</x:v>
      </x:c>
      <x:c r="C17" s="108" t="n">
        <x:v>170</x:v>
      </x:c>
      <x:c r="D17" s="108" t="n">
        <x:v>4</x:v>
      </x:c>
      <x:c r="E17" s="108" t="n">
        <x:v>2</x:v>
      </x:c>
      <x:c r="F17" s="108" t="n">
        <x:v>35</x:v>
      </x:c>
      <x:c r="G17" s="109" t="n">
        <x:v>0.81</x:v>
      </x:c>
      <x:c r="H17" s="108" t="n">
        <x:v>176</x:v>
      </x:c>
      <x:c r="I17" s="108" t="n">
        <x:v>251</x:v>
      </x:c>
      <x:c r="J17" s="108" t="n">
        <x:v>171</x:v>
      </x:c>
      <x:c r="K17" s="108" t="n">
        <x:v>5</x:v>
      </x:c>
      <x:c r="L17" s="108" t="n">
        <x:v>3</x:v>
      </x:c>
      <x:c r="M17" s="108" t="n">
        <x:v>36</x:v>
      </x:c>
      <x:c r="N17" s="109" t="n">
        <x:v>0.81</x:v>
      </x:c>
      <x:c r="O17" s="108" t="n">
        <x:v>190</x:v>
      </x:c>
      <x:c r="P17" s="108" t="n">
        <x:v>252</x:v>
      </x:c>
    </x:row>
    <x:row r="18">
      <x:c r="B18" s="107" t="n">
        <x:v>46082</x:v>
      </x:c>
      <x:c r="C18" s="108" t="n">
        <x:v>172</x:v>
      </x:c>
      <x:c r="D18" s="108" t="n">
        <x:v>6</x:v>
      </x:c>
      <x:c r="E18" s="108" t="n">
        <x:v>3</x:v>
      </x:c>
      <x:c r="F18" s="108" t="n">
        <x:v>41</x:v>
      </x:c>
      <x:c r="G18" s="109" t="n">
        <x:v>0.82</x:v>
      </x:c>
      <x:c r="H18" s="108" t="n">
        <x:v>191</x:v>
      </x:c>
      <x:c r="I18" s="108" t="n">
        <x:v>253</x:v>
      </x:c>
      <x:c r="J18" s="108" t="n">
        <x:v>173</x:v>
      </x:c>
      <x:c r="K18" s="108" t="n">
        <x:v>6</x:v>
      </x:c>
      <x:c r="L18" s="108" t="n">
        <x:v>3</x:v>
      </x:c>
      <x:c r="M18" s="108" t="n">
        <x:v>40</x:v>
      </x:c>
      <x:c r="N18" s="109" t="n">
        <x:v>0.82</x:v>
      </x:c>
      <x:c r="O18" s="108" t="n">
        <x:v>195</x:v>
      </x:c>
      <x:c r="P18" s="108" t="n">
        <x:v>254</x:v>
      </x:c>
    </x:row>
    <x:row r="19">
      <x:c r="B19" s="107" t="n">
        <x:v>46113</x:v>
      </x:c>
      <x:c r="C19" s="108" t="n">
        <x:v>173</x:v>
      </x:c>
      <x:c r="D19" s="108" t="n">
        <x:v>5</x:v>
      </x:c>
      <x:c r="E19" s="108" t="n">
        <x:v>2</x:v>
      </x:c>
      <x:c r="F19" s="108" t="n">
        <x:v>38</x:v>
      </x:c>
      <x:c r="G19" s="109" t="n">
        <x:v>0.84</x:v>
      </x:c>
      <x:c r="H19" s="108" t="n">
        <x:v>188</x:v>
      </x:c>
      <x:c r="I19" s="108" t="n">
        <x:v>256</x:v>
      </x:c>
      <x:c r="J19" s="108" t="n">
        <x:v>174</x:v>
      </x:c>
      <x:c r="K19" s="108" t="n">
        <x:v>6</x:v>
      </x:c>
      <x:c r="L19" s="108" t="n">
        <x:v>3</x:v>
      </x:c>
      <x:c r="M19" s="108" t="n">
        <x:v>42</x:v>
      </x:c>
      <x:c r="N19" s="109" t="n">
        <x:v>0.83</x:v>
      </x:c>
      <x:c r="O19" s="108" t="n">
        <x:v>200</x:v>
      </x:c>
      <x:c r="P19" s="108" t="n">
        <x:v>256</x:v>
      </x:c>
    </x:row>
    <x:row r="20">
      <x:c r="B20" s="107" t="n">
        <x:v>46143</x:v>
      </x:c>
      <x:c r="C20" s="108" t="n">
        <x:v>175</x:v>
      </x:c>
      <x:c r="D20" s="108" t="n">
        <x:v>7</x:v>
      </x:c>
      <x:c r="E20" s="108" t="n">
        <x:v>2</x:v>
      </x:c>
      <x:c r="F20" s="108" t="n">
        <x:v>46</x:v>
      </x:c>
      <x:c r="G20" s="109" t="n">
        <x:v>0.83</x:v>
      </x:c>
      <x:c r="H20" s="108" t="n">
        <x:v>205</x:v>
      </x:c>
      <x:c r="I20" s="108" t="n">
        <x:v>258</x:v>
      </x:c>
      <x:c r="J20" s="108" t="n">
        <x:v>176</x:v>
      </x:c>
      <x:c r="K20" s="108" t="n">
        <x:v>6</x:v>
      </x:c>
      <x:c r="L20" s="108" t="n">
        <x:v>3</x:v>
      </x:c>
      <x:c r="M20" s="108" t="n">
        <x:v>44</x:v>
      </x:c>
      <x:c r="N20" s="109" t="n">
        <x:v>0.84</x:v>
      </x:c>
      <x:c r="O20" s="108" t="n">
        <x:v>205</x:v>
      </x:c>
      <x:c r="P20" s="108" t="n">
        <x:v>258</x:v>
      </x:c>
    </x:row>
    <x:row r="21">
      <x:c r="B21" s="107" t="n">
        <x:v>46174</x:v>
      </x:c>
      <x:c r="C21" s="108" t="n">
        <x:v>176</x:v>
      </x:c>
      <x:c r="D21" s="108" t="n">
        <x:v>4</x:v>
      </x:c>
      <x:c r="E21" s="108" t="n">
        <x:v>3</x:v>
      </x:c>
      <x:c r="F21" s="108" t="n">
        <x:v>39</x:v>
      </x:c>
      <x:c r="G21" s="109" t="n">
        <x:v>0.85</x:v>
      </x:c>
      <x:c r="H21" s="108" t="n">
        <x:v>199</x:v>
      </x:c>
      <x:c r="I21" s="108" t="n">
        <x:v>260</x:v>
      </x:c>
      <x:c r="J21" s="108" t="n">
        <x:v>177</x:v>
      </x:c>
      <x:c r="K21" s="108" t="n">
        <x:v>6</x:v>
      </x:c>
      <x:c r="L21" s="108" t="n">
        <x:v>3</x:v>
      </x:c>
      <x:c r="M21" s="108" t="n">
        <x:v>45</x:v>
      </x:c>
      <x:c r="N21" s="109" t="n">
        <x:v>0.85</x:v>
      </x:c>
      <x:c r="O21" s="108" t="n">
        <x:v>210</x:v>
      </x:c>
      <x:c r="P21" s="108" t="n">
        <x:v>260</x:v>
      </x:c>
    </x:row>
    <x:row r="22">
      <x:c r="B22" s="107" t="n">
        <x:v>46204</x:v>
      </x:c>
      <x:c r="C22" s="108" t="n">
        <x:v>178</x:v>
      </x:c>
      <x:c r="D22" s="108" t="n">
        <x:v>6</x:v>
      </x:c>
      <x:c r="E22" s="108" t="n">
        <x:v>2</x:v>
      </x:c>
      <x:c r="F22" s="108" t="n">
        <x:v>44</x:v>
      </x:c>
      <x:c r="G22" s="109" t="n">
        <x:v>0.86</x:v>
      </x:c>
      <x:c r="H22" s="108" t="n">
        <x:v>214</x:v>
      </x:c>
      <x:c r="I22" s="108" t="n">
        <x:v>263</x:v>
      </x:c>
      <x:c r="J22" s="108" t="n">
        <x:v>179</x:v>
      </x:c>
      <x:c r="K22" s="108" t="n">
        <x:v>6</x:v>
      </x:c>
      <x:c r="L22" s="108" t="n">
        <x:v>3</x:v>
      </x:c>
      <x:c r="M22" s="108" t="n">
        <x:v>46</x:v>
      </x:c>
      <x:c r="N22" s="109" t="n">
        <x:v>0.86</x:v>
      </x:c>
      <x:c r="O22" s="108" t="n">
        <x:v>215</x:v>
      </x:c>
      <x:c r="P22" s="108" t="n">
        <x:v>263</x:v>
      </x:c>
    </x:row>
    <x:row r="23">
      <x:c r="B23" s="107" t="n">
        <x:v>46235</x:v>
      </x:c>
      <x:c r="C23" s="108" t="n">
        <x:v>180</x:v>
      </x:c>
      <x:c r="D23" s="108" t="n">
        <x:v>7</x:v>
      </x:c>
      <x:c r="E23" s="108" t="n">
        <x:v>3</x:v>
      </x:c>
      <x:c r="F23" s="108" t="n">
        <x:v>51</x:v>
      </x:c>
      <x:c r="G23" s="109" t="n">
        <x:v>0.87</x:v>
      </x:c>
      <x:c r="H23" s="108" t="n">
        <x:v>221</x:v>
      </x:c>
      <x:c r="I23" s="108" t="n">
        <x:v>266</x:v>
      </x:c>
      <x:c r="J23" s="108" t="n">
        <x:v>181</x:v>
      </x:c>
      <x:c r="K23" s="108" t="n">
        <x:v>6</x:v>
      </x:c>
      <x:c r="L23" s="108" t="n">
        <x:v>3</x:v>
      </x:c>
      <x:c r="M23" s="108" t="n">
        <x:v>48</x:v>
      </x:c>
      <x:c r="N23" s="109" t="n">
        <x:v>0.87</x:v>
      </x:c>
      <x:c r="O23" s="108" t="n">
        <x:v>220</x:v>
      </x:c>
      <x:c r="P23" s="108" t="n">
        <x:v>266</x:v>
      </x:c>
    </x:row>
    <x:row r="24">
      <x:c r="B24" s="107" t="n">
        <x:v>46266</x:v>
      </x:c>
      <x:c r="C24" s="108" t="n">
        <x:v>181</x:v>
      </x:c>
      <x:c r="D24" s="108" t="n">
        <x:v>5</x:v>
      </x:c>
      <x:c r="E24" s="108" t="n">
        <x:v>2</x:v>
      </x:c>
      <x:c r="F24" s="108" t="n">
        <x:v>48</x:v>
      </x:c>
      <x:c r="G24" s="109" t="n">
        <x:v>0.88</x:v>
      </x:c>
      <x:c r="H24" s="108" t="n">
        <x:v>217</x:v>
      </x:c>
      <x:c r="I24" s="108" t="n">
        <x:v>268</x:v>
      </x:c>
      <x:c r="J24" s="108" t="n">
        <x:v>182</x:v>
      </x:c>
      <x:c r="K24" s="108" t="n">
        <x:v>6</x:v>
      </x:c>
      <x:c r="L24" s="108" t="n">
        <x:v>3</x:v>
      </x:c>
      <x:c r="M24" s="108" t="n">
        <x:v>50</x:v>
      </x:c>
      <x:c r="N24" s="109" t="n">
        <x:v>0.88</x:v>
      </x:c>
      <x:c r="O24" s="108" t="n">
        <x:v>225</x:v>
      </x:c>
      <x:c r="P24" s="108" t="n">
        <x:v>269</x:v>
      </x:c>
    </x:row>
    <x:row r="25">
      <x:c r="B25" s="107" t="n">
        <x:v>46296</x:v>
      </x:c>
      <x:c r="C25" s="108" t="n">
        <x:v>183</x:v>
      </x:c>
      <x:c r="D25" s="108" t="n">
        <x:v>6</x:v>
      </x:c>
      <x:c r="E25" s="108" t="n">
        <x:v>2</x:v>
      </x:c>
      <x:c r="F25" s="108" t="n">
        <x:v>53</x:v>
      </x:c>
      <x:c r="G25" s="109" t="n">
        <x:v>0.89</x:v>
      </x:c>
      <x:c r="H25" s="108" t="n">
        <x:v>229</x:v>
      </x:c>
      <x:c r="I25" s="108" t="n">
        <x:v>271</x:v>
      </x:c>
      <x:c r="J25" s="108" t="n">
        <x:v>184</x:v>
      </x:c>
      <x:c r="K25" s="108" t="n">
        <x:v>6</x:v>
      </x:c>
      <x:c r="L25" s="108" t="n">
        <x:v>3</x:v>
      </x:c>
      <x:c r="M25" s="108" t="n">
        <x:v>52</x:v>
      </x:c>
      <x:c r="N25" s="109" t="n">
        <x:v>0.89</x:v>
      </x:c>
      <x:c r="O25" s="108" t="n">
        <x:v>230</x:v>
      </x:c>
      <x:c r="P25" s="108" t="n">
        <x:v>272</x:v>
      </x:c>
    </x:row>
    <x:row r="26">
      <x:c r="B26" s="107" t="n">
        <x:v>46327</x:v>
      </x:c>
      <x:c r="C26" s="108" t="n">
        <x:v>184</x:v>
      </x:c>
      <x:c r="D26" s="108" t="n">
        <x:v>4</x:v>
      </x:c>
      <x:c r="E26" s="108" t="n">
        <x:v>3</x:v>
      </x:c>
      <x:c r="F26" s="108" t="n">
        <x:v>47</x:v>
      </x:c>
      <x:c r="G26" s="109" t="n">
        <x:v>0.9</x:v>
      </x:c>
      <x:c r="H26" s="108" t="n">
        <x:v>224</x:v>
      </x:c>
      <x:c r="I26" s="108" t="n">
        <x:v>273</x:v>
      </x:c>
      <x:c r="J26" s="108" t="n">
        <x:v>185</x:v>
      </x:c>
      <x:c r="K26" s="108" t="n">
        <x:v>6</x:v>
      </x:c>
      <x:c r="L26" s="108" t="n">
        <x:v>3</x:v>
      </x:c>
      <x:c r="M26" s="108" t="n">
        <x:v>53</x:v>
      </x:c>
      <x:c r="N26" s="109" t="n">
        <x:v>0.9</x:v>
      </x:c>
      <x:c r="O26" s="108" t="n">
        <x:v>235</x:v>
      </x:c>
      <x:c r="P26" s="108" t="n">
        <x:v>274</x:v>
      </x:c>
    </x:row>
    <x:row r="27">
      <x:c r="B27" s="107" t="n">
        <x:v>46357</x:v>
      </x:c>
      <x:c r="C27" s="108" t="n">
        <x:v>186</x:v>
      </x:c>
      <x:c r="D27" s="108" t="n">
        <x:v>6</x:v>
      </x:c>
      <x:c r="E27" s="108" t="n">
        <x:v>2</x:v>
      </x:c>
      <x:c r="F27" s="108" t="n">
        <x:v>55</x:v>
      </x:c>
      <x:c r="G27" s="109" t="n">
        <x:v>0.91</x:v>
      </x:c>
      <x:c r="H27" s="108" t="n">
        <x:v>238</x:v>
      </x:c>
      <x:c r="I27" s="108" t="n">
        <x:v>276</x:v>
      </x:c>
      <x:c r="J27" s="108" t="n">
        <x:v>186</x:v>
      </x:c>
      <x:c r="K27" s="108" t="n">
        <x:v>6</x:v>
      </x:c>
      <x:c r="L27" s="108" t="n">
        <x:v>3</x:v>
      </x:c>
      <x:c r="M27" s="108" t="n">
        <x:v>55</x:v>
      </x:c>
      <x:c r="N27" s="109" t="n">
        <x:v>0.91</x:v>
      </x:c>
      <x:c r="O27" s="108" t="n">
        <x:v>240</x:v>
      </x:c>
      <x:c r="P27" s="108" t="n">
        <x:v>276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tr">
        <x:v>PHỄU TUYỂN DỤNG — CHỈ SỬA Ô MÀU VÀNG</x:v>
      </x:c>
      <x:c r="C29" s="86"/>
      <x:c r="D29" s="86" t="s">
        <x:v>2</x:v>
      </x:c>
      <x:c r="E29" s="119" t="str">
        <x:v>CÁC PHÂN HỆ CÓ THỂ BỔ SUNG DỮ LIỆU CHI TIẾT</x:v>
      </x:c>
      <x:c r="F29" s="120"/>
      <x:c r="G29" s="119"/>
      <x:c r="H29" s="119"/>
      <x:c r="I29" s="119"/>
      <x:c r="J29" s="119"/>
      <x:c r="K29" s="120"/>
      <x:c r="L29" s="120"/>
      <x:c r="M29" s="120"/>
      <x:c r="N29" s="120"/>
      <x:c r="O29" s="120"/>
      <x:c r="P29" s="120"/>
    </x:row>
    <x:row r="30">
      <x:c r="B30" s="113" t="str">
        <x:v>Giai đoạn</x:v>
      </x:c>
      <x:c r="C30" s="113" t="str">
        <x:v>Số lượng</x:v>
      </x:c>
      <x:c r="D30" s="28"/>
      <x:c r="E30" s="28" t="str">
        <x:v>Chấm công &amp; nghỉ phép</x:v>
      </x:c>
      <x:c r="F30" s="28" t="str">
        <x:v>Giờ làm, giờ yêu cầu, ngày phép còn lại, đơn chờ duyệt</x:v>
      </x:c>
      <x:c r="G30" s="3"/>
      <x:c r="H30" s="3"/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tr">
        <x:v>Nhu cầu tuyển</x:v>
      </x:c>
      <x:c r="C31" s="108" t="n">
        <x:v>18</x:v>
      </x:c>
      <x:c r="D31" s="28"/>
      <x:c r="E31" s="28" t="str">
        <x:v>Hành chính</x:v>
      </x:c>
      <x:c r="F31" s="28" t="str">
        <x:v>Công văn đến/đi, phòng họp, xe, VPP, con dấu/ký số</x:v>
      </x:c>
      <x:c r="G31" s="4"/>
      <x:c r="H31" s="32"/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tr">
        <x:v>Hồ sơ nhận</x:v>
      </x:c>
      <x:c r="C32" s="108" t="n">
        <x:v>126</x:v>
      </x:c>
      <x:c r="D32" s="28"/>
      <x:c r="E32" s="28" t="str">
        <x:v>Tài sản &amp; mua sắm</x:v>
      </x:c>
      <x:c r="F32" s="28" t="str">
        <x:v>Cấp phát, bảo trì, kiểm kê, thanh lý, đề nghị mua sắm</x:v>
      </x:c>
      <x:c r="G32" s="4"/>
      <x:c r="H32" s="32"/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tr">
        <x:v>Qua sàng lọc</x:v>
      </x:c>
      <x:c r="C33" s="108" t="n">
        <x:v>82</x:v>
      </x:c>
      <x:c r="D33" s="28"/>
      <x:c r="E33" s="28" t="str">
        <x:v>Hợp đồng &amp; lương</x:v>
      </x:c>
      <x:c r="F33" s="28" t="str">
        <x:v>Hợp đồng sắp hết hạn, bảng lương, chi phí nhân sự</x:v>
      </x:c>
      <x:c r="G33" s="4"/>
      <x:c r="H33" s="32"/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tr">
        <x:v>Đã phỏng vấn</x:v>
      </x:c>
      <x:c r="C34" s="108" t="n">
        <x:v>41</x:v>
      </x:c>
      <x:c r="D34" s="28"/>
      <x:c r="E34" s="28" t="str">
        <x:v>Công việc, KPI &amp; dự án</x:v>
      </x:c>
      <x:c r="F34" s="28" t="str">
        <x:v>Tiến độ, việc quá hạn, KPI, phân bổ thời gian dự án</x:v>
      </x:c>
      <x:c r="G34" s="4"/>
      <x:c r="H34" s="32"/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tr">
        <x:v>Đã tuyển</x:v>
      </x:c>
      <x:c r="C35" s="108" t="n">
        <x:v>12</x:v>
      </x:c>
      <x:c r="D35" s="28"/>
      <x:c r="E35" s="28" t="str">
        <x:v>Kế hoạch &amp; đào tạo</x:v>
      </x:c>
      <x:c r="F35" s="28" t="str">
        <x:v>Định biên, ngân sách, khóa học, học viên, sự kiện</x:v>
      </x:c>
      <x:c r="G35" s="5"/>
      <x:c r="H35" s="26"/>
      <x:c r="I35" s="28"/>
      <x:c r="J35" s="28"/>
      <x:c r="K35" s="28"/>
      <x:c r="L35" s="28"/>
      <x:c r="M35" s="28"/>
      <x:c r="N35" s="28"/>
      <x:c r="O35" s="28"/>
      <x:c r="P35" s="28"/>
    </x:row>
    <x:row r="37">
      <x:c r="B37" t="str">
        <x:v>BIẾN ĐỘNG NHÂN SỰ — CHỈ SỬA Ô MÀU VÀNG</x:v>
      </x:c>
      <x:c r="C37"/>
    </x:row>
    <x:row r="38">
      <x:c r="B38" s="116" t="str">
        <x:v>Loại</x:v>
      </x:c>
      <x:c r="C38" s="116" t="str">
        <x:v>Số lượng</x:v>
      </x:c>
    </x:row>
    <x:row r="39">
      <x:c r="B39" t="str">
        <x:v>Tuyển mới</x:v>
      </x:c>
      <x:c r="C39" s="111" t="n">
        <x:v>6</x:v>
      </x:c>
    </x:row>
    <x:row r="40">
      <x:c r="B40" t="str">
        <x:v>Nghỉ việc</x:v>
      </x:c>
      <x:c r="C40" s="111" t="n">
        <x:v>2</x:v>
      </x:c>
    </x:row>
    <x:row r="41">
      <x:c r="B41" t="str">
        <x:v>Điều chuyển</x:v>
      </x:c>
      <x:c r="C41" s="111" t="n">
        <x:v>4</x:v>
      </x:c>
    </x:row>
    <x:row r="42">
      <x:c r="B42" t="str">
        <x:v>Bổ nhiệm</x:v>
      </x:c>
      <x:c r="C42" s="111" t="n">
        <x:v>3</x:v>
      </x:c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Chỉ tiêu</x:v>
      </x:c>
      <x:c r="B1" s="3" t="str">
        <x:v>Thực tế</x:v>
      </x:c>
      <x:c r="C1" s="3" t="str">
        <x:v>Mục tiêu</x:v>
      </x:c>
      <x:c r="D1" s="3" t="str">
        <x:v>Kỳ trước</x:v>
      </x:c>
      <x:c r="E1" s="3" t="str">
        <x:v>Chiều tốt</x:v>
      </x:c>
      <x:c r="F1" s="3" t="str">
        <x:v>Trạng thái</x:v>
      </x:c>
      <x:c r="G1" s="4"/>
      <x:c r="H1" s="3" t="str">
        <x:f>"Tháng"</x:f>
        <x:v>Tháng</x:v>
      </x:c>
      <x:c r="I1" s="3" t="str">
        <x:f>"Tổng NS"</x:f>
        <x:v>Tổng NS</x:v>
      </x:c>
      <x:c r="J1" s="3" t="str">
        <x:f>"Định biên"</x:f>
        <x:v>Định biên</x:v>
      </x:c>
      <x:c r="K1" s="4"/>
      <x:c r="L1" s="3" t="str">
        <x:f>"Tháng"</x:f>
        <x:v>Tháng</x:v>
      </x:c>
      <x:c r="M1" s="3" t="str">
        <x:f>"Chi HC"</x:f>
        <x:v>Chi HC</x:v>
      </x:c>
      <x:c r="N1" s="3" t="str">
        <x:f>"Ngân sách"</x:f>
        <x:v>Ngân sách</x:v>
      </x:c>
      <x:c r="O1" s="4"/>
      <x:c r="P1" s="3" t="str">
        <x:f>"Giai đoạn"</x:f>
        <x:v>Giai đoạn</x:v>
      </x:c>
      <x:c r="Q1" s="3" t="str">
        <x:f>"Số lượng"</x:f>
        <x:v>Số lượng</x:v>
      </x:c>
      <x:c r="R1" s="4"/>
      <x:c r="S1" s="3" t="str">
        <x:f>"Segment"</x:f>
        <x:v>Segment</x:v>
      </x:c>
      <x:c r="T1" s="3" t="str">
        <x:f>"MRR"</x:f>
        <x:v>MRR</x:v>
      </x:c>
    </x:row>
    <x:row r="2">
      <x:c r="A2" s="4" t="str">
        <x:v>Tổng nhân sự</x:v>
      </x:c>
      <x:c r="B2" s="6" t="n">
        <x:f>INDEX('Data &amp; Targets'!$C$16:$C$27,MATCH('Data &amp; Targets'!$C$9,'Data &amp; Targets'!$B$16:$B$27,0))</x:f>
        <x:v>186</x:v>
      </x:c>
      <x:c r="C2" s="6" t="n">
        <x:f>INDEX('Data &amp; Targets'!$J$16:$J$27,MATCH('Data &amp; Targets'!$C$9,'Data &amp; Targets'!$B$16:$B$27,0))</x:f>
        <x:v>186</x:v>
      </x:c>
      <x:c r="D2" s="6" t="n">
        <x:f>IF(MATCH('Data &amp; Targets'!$C$9,'Data &amp; Targets'!$B$16:$B$27,0)&lt;=1,"",INDEX('Data &amp; Targets'!$C$16:$C$27,MATCH('Data &amp; Targets'!$C$9,'Data &amp; Targets'!$B$16:$B$27,0)-1))</x:f>
        <x:v>184</x:v>
      </x:c>
      <x:c r="E2" s="4" t="str">
        <x:f t="shared" ref="E2:E7" si="0">"Higher"</x:f>
        <x:v>Cao hơn</x:v>
      </x:c>
      <x:c r="F2" s="4" t="str">
        <x:f t="shared" ref="F2:F9" si="1">IF(E2="Cao hơn",IF(B2&gt;=C2,"Tốt",IF(B2&gt;=C2*0.95,"Theo dõi","Không đạt")),IF(B2&lt;=C2,"Tốt",IF(B2&lt;=C2*1.05,"Theo dõi","Không đạt")))</x:f>
        <x:v>Tốt</x:v>
      </x:c>
      <x:c r="G2" s="4"/>
      <x:c r="H2" s="11" t="str">
        <x:f>TEXT('Data &amp; Targets'!B16,"mmm yyyy")</x:f>
        <x:v>Jan 2026</x:v>
      </x:c>
      <x:c r="I2" s="4" t="n">
        <x:f>'Data &amp; Targets'!C16</x:f>
        <x:v>168</x:v>
      </x:c>
      <x:c r="J2" s="4" t="n">
        <x:f>'Data &amp; Targets'!J16</x:f>
        <x:v>170</x:v>
      </x:c>
      <x:c r="K2" s="4"/>
      <x:c r="L2" s="11" t="str">
        <x:f>TEXT('Data &amp; Targets'!B16,"mmm yyyy")</x:f>
        <x:v>Jan 2026</x:v>
      </x:c>
      <x:c r="M2" s="4" t="n">
        <x:f>'Data &amp; Targets'!H16</x:f>
        <x:v>182</x:v>
      </x:c>
      <x:c r="N2" s="4" t="n">
        <x:f>'Data &amp; Targets'!O16</x:f>
        <x:v>190</x:v>
      </x:c>
      <x:c r="O2" s="4"/>
      <x:c r="P2" s="4" t="str">
        <x:f>'Data &amp; Targets'!B31</x:f>
        <x:v>Nhu cầu tuyển</x:v>
      </x:c>
      <x:c r="Q2" s="6" t="n">
        <x:f>'Data &amp; Targets'!C31</x:f>
        <x:v>18</x:v>
      </x:c>
      <x:c r="R2" s="4"/>
      <x:c r="S2" s="4" t="n">
        <x:f>'Data &amp; Targets'!G34</x:f>
        <x:v>0</x:v>
      </x:c>
      <x:c r="T2" s="9" t="n">
        <x:f>$B$7*'Data &amp; Targets'!H34</x:f>
        <x:v>0</x:v>
      </x:c>
    </x:row>
    <x:row r="3">
      <x:c r="A3" s="4" t="str">
        <x:v>Tuyển mới</x:v>
      </x:c>
      <x:c r="B3" s="6" t="n">
        <x:f>INDEX('Data &amp; Targets'!$D$16:$D$27,MATCH('Data &amp; Targets'!$C$9,'Data &amp; Targets'!$B$16:$B$27,0))</x:f>
        <x:v>6</x:v>
      </x:c>
      <x:c r="C3" s="6" t="n">
        <x:f>INDEX('Data &amp; Targets'!$K$16:$K$27,MATCH('Data &amp; Targets'!$C$9,'Data &amp; Targets'!$B$16:$B$27,0))</x:f>
        <x:v>6</x:v>
      </x:c>
      <x:c r="D3" s="6" t="n">
        <x:f>IF(MATCH('Data &amp; Targets'!$C$9,'Data &amp; Targets'!$B$16:$B$27,0)&lt;=1,"",INDEX('Data &amp; Targets'!$D$16:$D$27,MATCH('Data &amp; Targets'!$C$9,'Data &amp; Targets'!$B$16:$B$27,0)-1))</x:f>
        <x:v>4</x:v>
      </x:c>
      <x:c r="E3" s="4" t="str">
        <x:f t="shared" si="0"/>
        <x:v>Cao hơn</x:v>
      </x:c>
      <x:c r="F3" s="4" t="str">
        <x:f t="shared" si="1">IF(E3="Cao hơn",IF(B3&gt;=C3,"Tốt",IF(B3&gt;=C3*0.95,"Theo dõi","Không đạt")),IF(B3&lt;=C3,"Tốt",IF(B3&lt;=C3*1.05,"Theo dõi","Không đạt")))</x:f>
        <x:v>Tốt</x:v>
      </x:c>
      <x:c r="G3" s="4"/>
      <x:c r="H3" s="11" t="str">
        <x:f>TEXT('Data &amp; Targets'!B17,"mmm yyyy")</x:f>
        <x:v>Feb 2026</x:v>
      </x:c>
      <x:c r="I3" s="4" t="n">
        <x:f>'Data &amp; Targets'!C17</x:f>
        <x:v>170</x:v>
      </x:c>
      <x:c r="J3" s="4" t="n">
        <x:f>'Data &amp; Targets'!J17</x:f>
        <x:v>171</x:v>
      </x:c>
      <x:c r="K3" s="4"/>
      <x:c r="L3" s="11" t="str">
        <x:f>TEXT('Data &amp; Targets'!B17,"mmm yyyy")</x:f>
        <x:v>Feb 2026</x:v>
      </x:c>
      <x:c r="M3" s="4" t="n">
        <x:f>'Data &amp; Targets'!H17</x:f>
        <x:v>176</x:v>
      </x:c>
      <x:c r="N3" s="4" t="n">
        <x:f>'Data &amp; Targets'!O17</x:f>
        <x:v>190</x:v>
      </x:c>
      <x:c r="O3" s="4"/>
      <x:c r="P3" s="4" t="str">
        <x:f>'Data &amp; Targets'!B32</x:f>
        <x:v>Hồ sơ nhận</x:v>
      </x:c>
      <x:c r="Q3" s="6" t="n">
        <x:f>'Data &amp; Targets'!C32</x:f>
        <x:v>126</x:v>
      </x:c>
      <x:c r="R3" s="4"/>
      <x:c r="S3" s="4" t="n">
        <x:f>'Data &amp; Targets'!G33</x:f>
        <x:v>0</x:v>
      </x:c>
      <x:c r="T3" s="9" t="n">
        <x:f>$B$7*'Data &amp; Targets'!H33</x:f>
        <x:v>0</x:v>
      </x:c>
    </x:row>
    <x:row r="4">
      <x:c r="A4" s="4" t="str">
        <x:v>Tỷ lệ nghỉ việc</x:v>
      </x:c>
      <x:c r="B4" s="121" t="n">
        <x:f>INDEX('Data &amp; Targets'!$E$16:$E$27,MATCH('Data &amp; Targets'!$C$9,'Data &amp; Targets'!$B$16:$B$27,0))/INDEX('Data &amp; Targets'!$C$16:$C$27,MATCH('Data &amp; Targets'!$C$9,'Data &amp; Targets'!$B$16:$B$27,0))</x:f>
        <x:v>0.010752688172043012</x:v>
      </x:c>
      <x:c r="C4" s="121" t="n">
        <x:f>INDEX('Data &amp; Targets'!$L$16:$L$27,MATCH('Data &amp; Targets'!$C$9,'Data &amp; Targets'!$B$16:$B$27,0))/INDEX('Data &amp; Targets'!$J$16:$J$27,MATCH('Data &amp; Targets'!$C$9,'Data &amp; Targets'!$B$16:$B$27,0))</x:f>
        <x:v>0.016129032258064516</x:v>
      </x:c>
      <x:c r="D4" s="121" t="n">
        <x:f>IF(MATCH('Data &amp; Targets'!$C$9,'Data &amp; Targets'!$B$16:$B$27,0)&lt;=1,"",INDEX('Data &amp; Targets'!$E$16:$E$27,MATCH('Data &amp; Targets'!$C$9,'Data &amp; Targets'!$B$16:$B$27,0)-1)/INDEX('Data &amp; Targets'!$C$16:$C$27,MATCH('Data &amp; Targets'!$C$9,'Data &amp; Targets'!$B$16:$B$27,0)-1))</x:f>
        <x:v>0.016304347826086956</x:v>
      </x:c>
      <x:c r="E4" s="4" t="str">
        <x:f t="shared" si="0"/>
        <x:v>Thấp hơn</x:v>
      </x:c>
      <x:c r="F4" s="4" t="str">
        <x:f t="shared" si="1">IF(E4="Cao hơn",IF(B4&gt;=C4,"Tốt",IF(B4&gt;=C4*0.95,"Theo dõi","Không đạt")),IF(B4&lt;=C4,"Tốt",IF(B4&lt;=C4*1.05,"Theo dõi","Không đạt")))</x:f>
        <x:v>Tốt</x:v>
      </x:c>
      <x:c r="G4" s="4"/>
      <x:c r="H4" s="11" t="str">
        <x:f>TEXT('Data &amp; Targets'!B18,"mmm yyyy")</x:f>
        <x:v>Mar 2026</x:v>
      </x:c>
      <x:c r="I4" s="4" t="n">
        <x:f>'Data &amp; Targets'!C18</x:f>
        <x:v>172</x:v>
      </x:c>
      <x:c r="J4" s="4" t="n">
        <x:f>'Data &amp; Targets'!J18</x:f>
        <x:v>173</x:v>
      </x:c>
      <x:c r="K4" s="4"/>
      <x:c r="L4" s="11" t="str">
        <x:f>TEXT('Data &amp; Targets'!B18,"mmm yyyy")</x:f>
        <x:v>Mar 2026</x:v>
      </x:c>
      <x:c r="M4" s="4" t="n">
        <x:f>'Data &amp; Targets'!H18</x:f>
        <x:v>191</x:v>
      </x:c>
      <x:c r="N4" s="4" t="n">
        <x:f>'Data &amp; Targets'!O18</x:f>
        <x:v>195</x:v>
      </x:c>
      <x:c r="O4" s="4"/>
      <x:c r="P4" s="4" t="str">
        <x:f>'Data &amp; Targets'!B33</x:f>
        <x:v>Qua sàng lọc</x:v>
      </x:c>
      <x:c r="Q4" s="6" t="n">
        <x:f>'Data &amp; Targets'!C33</x:f>
        <x:v>82</x:v>
      </x:c>
      <x:c r="R4" s="4"/>
      <x:c r="S4" s="4" t="n">
        <x:f>'Data &amp; Targets'!G32</x:f>
        <x:v>0</x:v>
      </x:c>
      <x:c r="T4" s="9" t="n">
        <x:f>$B$7*'Data &amp; Targets'!H32</x:f>
        <x:v>0</x:v>
      </x:c>
    </x:row>
    <x:row r="5">
      <x:c r="A5" s="4" t="str">
        <x:v>Ứng viên đang xử lý</x:v>
      </x:c>
      <x:c r="B5" s="7" t="n">
        <x:f>INDEX('Data &amp; Targets'!$F$16:$F$27,MATCH('Data &amp; Targets'!$C$9,'Data &amp; Targets'!$B$16:$B$27,0))</x:f>
        <x:v>55</x:v>
      </x:c>
      <x:c r="C5" s="7" t="n">
        <x:f>INDEX('Data &amp; Targets'!$M$16:$M$27,MATCH('Data &amp; Targets'!$C$9,'Data &amp; Targets'!$B$16:$B$27,0))</x:f>
        <x:v>55</x:v>
      </x:c>
      <x:c r="D5" s="7" t="n">
        <x:f>IF(MATCH('Data &amp; Targets'!$C$9,'Data &amp; Targets'!$B$16:$B$27,0)&lt;=1,"",INDEX('Data &amp; Targets'!$F$16:$F$27,MATCH('Data &amp; Targets'!$C$9,'Data &amp; Targets'!$B$16:$B$27,0)-1))</x:f>
        <x:v>47</x:v>
      </x:c>
      <x:c r="E5" s="4" t="str">
        <x:f t="shared" si="0"/>
        <x:v>Cao hơn</x:v>
      </x:c>
      <x:c r="F5" s="4" t="str">
        <x:f t="shared" si="1">IF(E5="Cao hơn",IF(B5&gt;=C5,"Tốt",IF(B5&gt;=C5*0.95,"Theo dõi","Không đạt")),IF(B5&lt;=C5,"Tốt",IF(B5&lt;=C5*1.05,"Theo dõi","Không đạt")))</x:f>
        <x:v>Tốt</x:v>
      </x:c>
      <x:c r="G5" s="4"/>
      <x:c r="H5" s="11" t="str">
        <x:f>TEXT('Data &amp; Targets'!B19,"mmm yyyy")</x:f>
        <x:v>Apr 2026</x:v>
      </x:c>
      <x:c r="I5" s="4" t="n">
        <x:f>'Data &amp; Targets'!C19</x:f>
        <x:v>173</x:v>
      </x:c>
      <x:c r="J5" s="4" t="n">
        <x:f>'Data &amp; Targets'!J19</x:f>
        <x:v>174</x:v>
      </x:c>
      <x:c r="K5" s="4"/>
      <x:c r="L5" s="11" t="str">
        <x:f>TEXT('Data &amp; Targets'!B19,"mmm yyyy")</x:f>
        <x:v>Apr 2026</x:v>
      </x:c>
      <x:c r="M5" s="4" t="n">
        <x:f>'Data &amp; Targets'!H19</x:f>
        <x:v>188</x:v>
      </x:c>
      <x:c r="N5" s="4" t="n">
        <x:f>'Data &amp; Targets'!O19</x:f>
        <x:v>200</x:v>
      </x:c>
      <x:c r="O5" s="4"/>
      <x:c r="P5" s="4" t="str">
        <x:f>'Data &amp; Targets'!B34</x:f>
        <x:v>Đã phỏng vấn</x:v>
      </x:c>
      <x:c r="Q5" s="6" t="n">
        <x:f>'Data &amp; Targets'!C34</x:f>
        <x:v>41</x:v>
      </x:c>
      <x:c r="R5" s="4"/>
      <x:c r="S5" s="4" t="n">
        <x:f>'Data &amp; Targets'!G31</x:f>
        <x:v>0</x:v>
      </x:c>
      <x:c r="T5" s="9" t="n">
        <x:f>$B$7*'Data &amp; Targets'!H31</x:f>
        <x:v>0</x:v>
      </x:c>
    </x:row>
    <x:row r="6">
      <x:c r="A6" s="4" t="str">
        <x:v>Hoàn thành công việc</x:v>
      </x:c>
      <x:c r="B6" s="121" t="n">
        <x:f>INDEX('Data &amp; Targets'!$G$16:$G$27,MATCH('Data &amp; Targets'!$C$9,'Data &amp; Targets'!$B$16:$B$27,0))</x:f>
        <x:v>0.91</x:v>
      </x:c>
      <x:c r="C6" s="121" t="n">
        <x:f>INDEX('Data &amp; Targets'!$N$16:$N$27,MATCH('Data &amp; Targets'!$C$9,'Data &amp; Targets'!$B$16:$B$27,0))</x:f>
        <x:v>0.91</x:v>
      </x:c>
      <x:c r="D6" s="121" t="n">
        <x:f>IF(MATCH('Data &amp; Targets'!$C$9,'Data &amp; Targets'!$B$16:$B$27,0)&lt;=1,"",INDEX('Data &amp; Targets'!$G$16:$G$27,MATCH('Data &amp; Targets'!$C$9,'Data &amp; Targets'!$B$16:$B$27,0)-1))</x:f>
        <x:v>0.9</x:v>
      </x:c>
      <x:c r="E6" s="4" t="str">
        <x:f t="shared" si="0"/>
        <x:v>Cao hơn</x:v>
      </x:c>
      <x:c r="F6" s="4" t="str">
        <x:f t="shared" si="1">IF(E6="Cao hơn",IF(B6&gt;=C6,"Tốt",IF(B6&gt;=C6*0.95,"Theo dõi","Không đạt")),IF(B6&lt;=C6,"Tốt",IF(B6&lt;=C6*1.05,"Theo dõi","Không đạt")))</x:f>
        <x:v>Tốt</x:v>
      </x:c>
      <x:c r="G6" s="4"/>
      <x:c r="H6" s="11" t="str">
        <x:f>TEXT('Data &amp; Targets'!B20,"mmm yyyy")</x:f>
        <x:v>May 2026</x:v>
      </x:c>
      <x:c r="I6" s="4" t="n">
        <x:f>'Data &amp; Targets'!C20</x:f>
        <x:v>175</x:v>
      </x:c>
      <x:c r="J6" s="4" t="n">
        <x:f>'Data &amp; Targets'!J20</x:f>
        <x:v>176</x:v>
      </x:c>
      <x:c r="K6" s="4"/>
      <x:c r="L6" s="11" t="str">
        <x:f>TEXT('Data &amp; Targets'!B20,"mmm yyyy")</x:f>
        <x:v>May 2026</x:v>
      </x:c>
      <x:c r="M6" s="4" t="n">
        <x:f>'Data &amp; Targets'!H20</x:f>
        <x:v>205</x:v>
      </x:c>
      <x:c r="N6" s="4" t="n">
        <x:f>'Data &amp; Targets'!O20</x:f>
        <x:v>205</x:v>
      </x:c>
      <x:c r="O6" s="4"/>
      <x:c r="P6" s="4" t="str">
        <x:f>'Data &amp; Targets'!B35</x:f>
        <x:v>Đã tuyển</x:v>
      </x:c>
      <x:c r="Q6" s="6" t="n">
        <x:f>'Data &amp; Targets'!C35</x:f>
        <x:v>12</x:v>
      </x:c>
      <x:c r="R6" s="4"/>
      <x:c r="S6" s="4"/>
      <x:c r="T6" s="4"/>
    </x:row>
    <x:row r="7">
      <x:c r="A7" s="4" t="str">
        <x:v>Chi hành chính (triệu đ)</x:v>
      </x:c>
      <x:c r="B7" s="9" t="n">
        <x:f>INDEX('Data &amp; Targets'!$H$16:$H$27,MATCH('Data &amp; Targets'!$C$9,'Data &amp; Targets'!$B$16:$B$27,0))</x:f>
        <x:v>238</x:v>
      </x:c>
      <x:c r="C7" s="9" t="n">
        <x:f>INDEX('Data &amp; Targets'!$O$16:$O$27,MATCH('Data &amp; Targets'!$C$9,'Data &amp; Targets'!$B$16:$B$27,0))</x:f>
        <x:v>240</x:v>
      </x:c>
      <x:c r="D7" s="9" t="n">
        <x:f>IF(MATCH('Data &amp; Targets'!$C$9,'Data &amp; Targets'!$B$16:$B$27,0)&lt;=1,"",INDEX('Data &amp; Targets'!$H$16:$H$27,MATCH('Data &amp; Targets'!$C$9,'Data &amp; Targets'!$B$16:$B$27,0)-1))</x:f>
        <x:v>224</x:v>
      </x:c>
      <x:c r="E7" s="4" t="str">
        <x:f t="shared" si="0"/>
        <x:v>Thấp hơn</x:v>
      </x:c>
      <x:c r="F7" s="4" t="str">
        <x:f t="shared" si="1">IF(E7="Cao hơn",IF(B7&gt;=C7,"Tốt",IF(B7&gt;=C7*0.95,"Theo dõi","Không đạt")),IF(B7&lt;=C7,"Tốt",IF(B7&lt;=C7*1.05,"Theo dõi","Không đạt")))</x:f>
        <x:v>Tốt</x:v>
      </x:c>
      <x:c r="G7" s="4"/>
      <x:c r="H7" s="11" t="str">
        <x:f>TEXT('Data &amp; Targets'!B21,"mmm yyyy")</x:f>
        <x:v>Jun 2026</x:v>
      </x:c>
      <x:c r="I7" s="4" t="n">
        <x:f>'Data &amp; Targets'!C21</x:f>
        <x:v>176</x:v>
      </x:c>
      <x:c r="J7" s="4" t="n">
        <x:f>'Data &amp; Targets'!J21</x:f>
        <x:v>177</x:v>
      </x:c>
      <x:c r="K7" s="4"/>
      <x:c r="L7" s="11" t="str">
        <x:f>TEXT('Data &amp; Targets'!B21,"mmm yyyy")</x:f>
        <x:v>Jun 2026</x:v>
      </x:c>
      <x:c r="M7" s="4" t="n">
        <x:f>'Data &amp; Targets'!H21</x:f>
        <x:v>199</x:v>
      </x:c>
      <x:c r="N7" s="4" t="n">
        <x:f>'Data &amp; Targets'!O21</x:f>
        <x:v>210</x:v>
      </x:c>
      <x:c r="O7" s="4"/>
      <x:c r="P7" s="4"/>
      <x:c r="Q7" s="4"/>
      <x:c r="R7" s="4"/>
      <x:c r="S7" s="4"/>
      <x:c r="T7" s="4"/>
    </x:row>
    <x:row r="8">
      <x:c r="A8" s="4" t="str">
        <x:v>Tài sản đang sử dụng</x:v>
      </x:c>
      <x:c r="B8" s="7" t="n">
        <x:f>INDEX('Data &amp; Targets'!$I$16:$I$27,MATCH('Data &amp; Targets'!$C$9,'Data &amp; Targets'!$B$16:$B$27,0))</x:f>
        <x:v>276</x:v>
      </x:c>
      <x:c r="C8" s="7" t="n">
        <x:f>INDEX('Data &amp; Targets'!$P$16:$P$27,MATCH('Data &amp; Targets'!$C$9,'Data &amp; Targets'!$B$16:$B$27,0))</x:f>
        <x:v>276</x:v>
      </x:c>
      <x:c r="D8" s="7" t="n">
        <x:f>IF(MATCH('Data &amp; Targets'!$C$9,'Data &amp; Targets'!$B$16:$B$27,0)&lt;=1,"",INDEX('Data &amp; Targets'!$I$16:$I$27,MATCH('Data &amp; Targets'!$C$9,'Data &amp; Targets'!$B$16:$B$27,0)-1))</x:f>
        <x:v>273</x:v>
      </x:c>
      <x:c r="E8" s="4" t="str">
        <x:v>Cao hơn</x:v>
      </x:c>
      <x:c r="F8" s="4" t="str">
        <x:f t="shared" si="1">IF(E8="Cao hơn",IF(B8&gt;=C8,"Tốt",IF(B8&gt;=C8*0.95,"Theo dõi","Không đạt")),IF(B8&lt;=C8,"Tốt",IF(B8&lt;=C8*1.05,"Theo dõi","Không đạt")))</x:f>
        <x:v>Tốt</x:v>
      </x:c>
      <x:c r="G8" s="4"/>
      <x:c r="H8" s="11" t="str">
        <x:f>TEXT('Data &amp; Targets'!B22,"mmm yyyy")</x:f>
        <x:v>Jul 2026</x:v>
      </x:c>
      <x:c r="I8" s="4" t="n">
        <x:f>'Data &amp; Targets'!C22</x:f>
        <x:v>178</x:v>
      </x:c>
      <x:c r="J8" s="4" t="n">
        <x:f>'Data &amp; Targets'!J22</x:f>
        <x:v>179</x:v>
      </x:c>
      <x:c r="K8" s="4"/>
      <x:c r="L8" s="11" t="str">
        <x:f>TEXT('Data &amp; Targets'!B22,"mmm yyyy")</x:f>
        <x:v>Jul 2026</x:v>
      </x:c>
      <x:c r="M8" s="4" t="n">
        <x:f>'Data &amp; Targets'!H22</x:f>
        <x:v>214</x:v>
      </x:c>
      <x:c r="N8" s="4" t="n">
        <x:f>'Data &amp; Targets'!O22</x:f>
        <x:v>215</x:v>
      </x:c>
      <x:c r="O8" s="4"/>
      <x:c r="P8" s="4"/>
      <x:c r="Q8" s="4"/>
      <x:c r="R8" s="4"/>
      <x:c r="S8" s="4"/>
      <x:c r="T8" s="4"/>
    </x:row>
    <x:row r="9">
      <x:c r="A9" s="4" t="str">
        <x:v>Sử dụng ngân sách HC</x:v>
      </x:c>
      <x:c r="B9" s="121" t="n">
        <x:f>INDEX('Data &amp; Targets'!$H$16:$H$27,MATCH('Data &amp; Targets'!$C$9,'Data &amp; Targets'!$B$16:$B$27,0))/INDEX('Data &amp; Targets'!$O$16:$O$27,MATCH('Data &amp; Targets'!$C$9,'Data &amp; Targets'!$B$16:$B$27,0))</x:f>
        <x:v>0.9916666666666667</x:v>
      </x:c>
      <x:c r="C9" s="121" t="n">
        <x:v>0.9</x:v>
      </x:c>
      <x:c r="D9" s="121" t="n">
        <x:f>IF(MATCH('Data &amp; Targets'!$C$9,'Data &amp; Targets'!$B$16:$B$27,0)&lt;=1,"",INDEX('Data &amp; Targets'!$H$16:$H$27,MATCH('Data &amp; Targets'!$C$9,'Data &amp; Targets'!$B$16:$B$27,0)-1)/INDEX('Data &amp; Targets'!$O$16:$O$27,MATCH('Data &amp; Targets'!$C$9,'Data &amp; Targets'!$B$16:$B$27,0)-1))</x:f>
        <x:v>0.9531914893617022</x:v>
      </x:c>
      <x:c r="E9" s="4" t="str">
        <x:v>Thấp hơn</x:v>
      </x:c>
      <x:c r="F9" s="4" t="str">
        <x:f t="shared" si="1">IF(E9="Cao hơn",IF(B9&gt;=C9,"Tốt",IF(B9&gt;=C9*0.95,"Theo dõi","Không đạt")),IF(B9&lt;=C9,"Tốt",IF(B9&lt;=C9*1.05,"Theo dõi","Không đạt")))</x:f>
        <x:v>Không đạt</x:v>
      </x:c>
      <x:c r="G9" s="4"/>
      <x:c r="H9" s="11" t="str">
        <x:f>TEXT('Data &amp; Targets'!B23,"mmm yyyy")</x:f>
        <x:v>Aug 2026</x:v>
      </x:c>
      <x:c r="I9" s="4" t="n">
        <x:f>'Data &amp; Targets'!C23</x:f>
        <x:v>180</x:v>
      </x:c>
      <x:c r="J9" s="4" t="n">
        <x:f>'Data &amp; Targets'!J23</x:f>
        <x:v>181</x:v>
      </x:c>
      <x:c r="K9" s="4"/>
      <x:c r="L9" s="11" t="str">
        <x:f>TEXT('Data &amp; Targets'!B23,"mmm yyyy")</x:f>
        <x:v>Aug 2026</x:v>
      </x:c>
      <x:c r="M9" s="4" t="n">
        <x:f>'Data &amp; Targets'!H23</x:f>
        <x:v>221</x:v>
      </x:c>
      <x:c r="N9" s="4" t="n">
        <x:f>'Data &amp; Targets'!O23</x:f>
        <x:v>220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yyyy")</x:f>
        <x:v>Sep 2026</x:v>
      </x:c>
      <x:c r="I10" s="4" t="n">
        <x:f>'Data &amp; Targets'!C24</x:f>
        <x:v>181</x:v>
      </x:c>
      <x:c r="J10" s="4" t="n">
        <x:f>'Data &amp; Targets'!J24</x:f>
        <x:v>182</x:v>
      </x:c>
      <x:c r="K10" s="4"/>
      <x:c r="L10" s="11" t="str">
        <x:f>TEXT('Data &amp; Targets'!B24,"mmm yyyy")</x:f>
        <x:v>Sep 2026</x:v>
      </x:c>
      <x:c r="M10" s="4" t="n">
        <x:f>'Data &amp; Targets'!H24</x:f>
        <x:v>217</x:v>
      </x:c>
      <x:c r="N10" s="4" t="n">
        <x:f>'Data &amp; Targets'!O24</x:f>
        <x:v>225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yyyy")</x:f>
        <x:v>Oct 2026</x:v>
      </x:c>
      <x:c r="I11" s="4" t="n">
        <x:f>'Data &amp; Targets'!C25</x:f>
        <x:v>183</x:v>
      </x:c>
      <x:c r="J11" s="4" t="n">
        <x:f>'Data &amp; Targets'!J25</x:f>
        <x:v>184</x:v>
      </x:c>
      <x:c r="K11" s="4"/>
      <x:c r="L11" s="11" t="str">
        <x:f>TEXT('Data &amp; Targets'!B25,"mmm yyyy")</x:f>
        <x:v>Oct 2026</x:v>
      </x:c>
      <x:c r="M11" s="4" t="n">
        <x:f>'Data &amp; Targets'!H25</x:f>
        <x:v>229</x:v>
      </x:c>
      <x:c r="N11" s="4" t="n">
        <x:f>'Data &amp; Targets'!O25</x:f>
        <x:v>230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yyyy")</x:f>
        <x:v>Nov 2026</x:v>
      </x:c>
      <x:c r="I12" s="4" t="n">
        <x:f>'Data &amp; Targets'!C26</x:f>
        <x:v>184</x:v>
      </x:c>
      <x:c r="J12" s="4" t="n">
        <x:f>'Data &amp; Targets'!J26</x:f>
        <x:v>185</x:v>
      </x:c>
      <x:c r="K12" s="4"/>
      <x:c r="L12" s="11" t="str">
        <x:f>TEXT('Data &amp; Targets'!B26,"mmm yyyy")</x:f>
        <x:v>Nov 2026</x:v>
      </x:c>
      <x:c r="M12" s="4" t="n">
        <x:f>'Data &amp; Targets'!H26</x:f>
        <x:v>224</x:v>
      </x:c>
      <x:c r="N12" s="4" t="n">
        <x:f>'Data &amp; Targets'!O26</x:f>
        <x:v>235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yyyy")</x:f>
        <x:v>Dec 2026</x:v>
      </x:c>
      <x:c r="I13" s="4" t="n">
        <x:f>'Data &amp; Targets'!C27</x:f>
        <x:v>186</x:v>
      </x:c>
      <x:c r="J13" s="4" t="n">
        <x:f>'Data &amp; Targets'!J27</x:f>
        <x:v>186</x:v>
      </x:c>
      <x:c r="K13" s="4"/>
      <x:c r="L13" s="11" t="str">
        <x:f>TEXT('Data &amp; Targets'!B27,"mmm yyyy")</x:f>
        <x:v>Dec 2026</x:v>
      </x:c>
      <x:c r="M13" s="4" t="n">
        <x:f>'Data &amp; Targets'!H27</x:f>
        <x:v>238</x:v>
      </x:c>
      <x:c r="N13" s="4" t="n">
        <x:f>'Data &amp; Targets'!O27</x:f>
        <x:v>240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