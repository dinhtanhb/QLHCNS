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ttviethealth.sharepoint.com/sites/viethealth/Shared Documents/1. Hanh chinh, Nhan su/3. Tuyen dung/5. Form mau/"/>
    </mc:Choice>
  </mc:AlternateContent>
  <xr:revisionPtr revIDLastSave="45" documentId="8_{9A77E6CA-CBF3-4EB3-8365-787606045653}" xr6:coauthVersionLast="47" xr6:coauthVersionMax="47" xr10:uidLastSave="{91DD59DA-2B88-4AC8-80C8-66F2EBB51B85}"/>
  <bookViews>
    <workbookView xWindow="-120" yWindow="-120" windowWidth="29040" windowHeight="15720" tabRatio="500" activeTab="1" xr2:uid="{00000000-000D-0000-FFFF-FFFF00000000}"/>
  </bookViews>
  <sheets>
    <sheet name="CV PHCN" sheetId="4" r:id="rId1"/>
    <sheet name="CBDA - TN" sheetId="3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3" i="4" l="1"/>
  <c r="Q13" i="4"/>
  <c r="M13" i="4"/>
  <c r="Q12" i="4"/>
  <c r="M12" i="4"/>
  <c r="N12" i="4" s="1"/>
  <c r="S12" i="4" s="1"/>
  <c r="M7" i="4"/>
  <c r="Q12" i="3"/>
  <c r="Q13" i="3"/>
  <c r="R13" i="3" s="1"/>
  <c r="M12" i="3"/>
  <c r="M13" i="3"/>
  <c r="N12" i="3" l="1"/>
  <c r="S12" i="3" s="1"/>
  <c r="M7" i="3"/>
</calcChain>
</file>

<file path=xl/sharedStrings.xml><?xml version="1.0" encoding="utf-8"?>
<sst xmlns="http://schemas.openxmlformats.org/spreadsheetml/2006/main" count="73" uniqueCount="48">
  <si>
    <t xml:space="preserve">STT </t>
  </si>
  <si>
    <t xml:space="preserve">Kinh nghiệm hoạt động dự án </t>
  </si>
  <si>
    <t>Tiếng Anh</t>
  </si>
  <si>
    <t xml:space="preserve">Chuyên môn </t>
  </si>
  <si>
    <t>Các quan tâm của ứng viên với tổ chức</t>
  </si>
  <si>
    <t>Khác</t>
  </si>
  <si>
    <t>Thời gian phỏng vấn</t>
  </si>
  <si>
    <t>Thang điểm</t>
  </si>
  <si>
    <t xml:space="preserve">Tổng điểm phỏng vấn </t>
  </si>
  <si>
    <t>Tổng điểm bài kiểm tra</t>
  </si>
  <si>
    <t>Giao tiếp/ phong thái</t>
  </si>
  <si>
    <t>Kết quả</t>
  </si>
  <si>
    <t>Điểm bài kiểm tra - lập KH</t>
  </si>
  <si>
    <t>Điểm bài kiểm tra - ngân sách</t>
  </si>
  <si>
    <t>Tổng cộng điểm</t>
  </si>
  <si>
    <t>BẢNG TỔNG HỢP KẾT QUẢ PHỎNG VẤN</t>
  </si>
  <si>
    <t>Tiêu chí và kết quả phỏng vấn</t>
  </si>
  <si>
    <t>Người phỏng vấn và chấm điểm</t>
  </si>
  <si>
    <t>Vị trí ứng tuyển</t>
  </si>
  <si>
    <t>Họ tên ứng viên</t>
  </si>
  <si>
    <t>CBDA</t>
  </si>
  <si>
    <r>
      <t xml:space="preserve">Địa điểm
</t>
    </r>
    <r>
      <rPr>
        <i/>
        <sz val="12"/>
        <color theme="1"/>
        <rFont val="Calibri"/>
        <family val="2"/>
        <scheme val="minor"/>
      </rPr>
      <t>(hình thức phỏng vấn)</t>
    </r>
  </si>
  <si>
    <r>
      <t xml:space="preserve">Mức lương kỳ vọng </t>
    </r>
    <r>
      <rPr>
        <i/>
        <sz val="12"/>
        <color theme="1"/>
        <rFont val="Calibri"/>
        <family val="2"/>
        <scheme val="minor"/>
      </rPr>
      <t>(đ/tháng)</t>
    </r>
  </si>
  <si>
    <t>TP. HCM</t>
  </si>
  <si>
    <t>TB
PV</t>
  </si>
  <si>
    <t>TB bài KT</t>
  </si>
  <si>
    <t>Mức lương đề xuất</t>
  </si>
  <si>
    <t>15h30
04/092020</t>
  </si>
  <si>
    <t>8-10tr</t>
  </si>
  <si>
    <t>Đề xuất tuyển dụng</t>
  </si>
  <si>
    <t>8,6 triệu</t>
  </si>
  <si>
    <t xml:space="preserve">Kinh nghiệm </t>
  </si>
  <si>
    <t>Vị trí: chuyên viên PHCN</t>
  </si>
  <si>
    <t>Đánh giá tính phù hợp với vị trí công việc</t>
  </si>
  <si>
    <t xml:space="preserve"> Văn hóa tổ chức</t>
  </si>
  <si>
    <t>Yêu cầu công việc (linh hoạt, …)</t>
  </si>
  <si>
    <t>Động lực</t>
  </si>
  <si>
    <t>Tính chất công việc</t>
  </si>
  <si>
    <t>Đại học + đào tạo ngắn hạn</t>
  </si>
  <si>
    <t>Đào tạo ngắn hạn (10)</t>
  </si>
  <si>
    <t>Tự học (5 điểm)</t>
  </si>
  <si>
    <t>Đóng góp cho tổ chức</t>
  </si>
  <si>
    <t>Cải thiện chất lượng</t>
  </si>
  <si>
    <t>Cải thiện  chuyên môn</t>
  </si>
  <si>
    <r>
      <t xml:space="preserve">Địa điểm
</t>
    </r>
    <r>
      <rPr>
        <i/>
        <sz val="12"/>
        <color theme="1"/>
        <rFont val="Aptos"/>
        <family val="2"/>
      </rPr>
      <t>(hình thức phỏng vấn)</t>
    </r>
  </si>
  <si>
    <r>
      <t xml:space="preserve">Mức lương kỳ vọng </t>
    </r>
    <r>
      <rPr>
        <i/>
        <sz val="12"/>
        <color theme="1"/>
        <rFont val="Aptos"/>
        <family val="2"/>
      </rPr>
      <t>(đ/tháng)</t>
    </r>
  </si>
  <si>
    <t>Vị trí: ... - Văn phòng …</t>
  </si>
  <si>
    <t>Dự án: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</si>
</sst>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b/>
      <sz val="12"/>
      <color rgb="FFFF0000"/>
      <name val="Aptos"/>
      <family val="2"/>
    </font>
    <font>
      <sz val="12"/>
      <color rgb="FFFF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17" fontId="3" fillId="0" borderId="0" xfId="0" applyNumberFormat="1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64" fontId="0" fillId="2" borderId="2" xfId="1" applyNumberFormat="1" applyFont="1" applyFill="1" applyBorder="1" applyAlignment="1">
      <alignment horizontal="center" vertical="center" wrapText="1"/>
    </xf>
    <xf numFmtId="164" fontId="0" fillId="2" borderId="3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8" fillId="0" borderId="0" xfId="0" quotePrefix="1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10" fillId="0" borderId="0" xfId="0" applyFont="1"/>
    <xf numFmtId="0" fontId="11" fillId="0" borderId="0" xfId="0" applyFont="1"/>
    <xf numFmtId="17" fontId="10" fillId="0" borderId="0" xfId="0" applyNumberFormat="1" applyFont="1"/>
    <xf numFmtId="0" fontId="11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1" fontId="13" fillId="2" borderId="3" xfId="0" applyNumberFormat="1" applyFont="1" applyFill="1" applyBorder="1" applyAlignment="1">
      <alignment horizontal="right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164" fontId="10" fillId="2" borderId="3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4" fontId="10" fillId="2" borderId="2" xfId="1" applyNumberFormat="1" applyFont="1" applyFill="1" applyBorder="1" applyAlignment="1">
      <alignment horizontal="center" vertical="center" wrapText="1"/>
    </xf>
    <xf numFmtId="164" fontId="10" fillId="2" borderId="3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1" fontId="7" fillId="2" borderId="2" xfId="0" applyNumberFormat="1" applyFont="1" applyFill="1" applyBorder="1" applyAlignment="1">
      <alignment horizontal="right" vertical="center" wrapText="1"/>
    </xf>
    <xf numFmtId="1" fontId="7" fillId="2" borderId="3" xfId="0" applyNumberFormat="1" applyFont="1" applyFill="1" applyBorder="1" applyAlignment="1">
      <alignment horizontal="right" vertical="center" wrapText="1"/>
    </xf>
    <xf numFmtId="164" fontId="0" fillId="2" borderId="2" xfId="1" applyNumberFormat="1" applyFont="1" applyFill="1" applyBorder="1" applyAlignment="1">
      <alignment horizontal="center" vertical="center" wrapText="1"/>
    </xf>
    <xf numFmtId="164" fontId="0" fillId="2" borderId="3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76200</xdr:rowOff>
    </xdr:from>
    <xdr:to>
      <xdr:col>2</xdr:col>
      <xdr:colOff>408215</xdr:colOff>
      <xdr:row>2</xdr:row>
      <xdr:rowOff>123825</xdr:rowOff>
    </xdr:to>
    <xdr:pic>
      <xdr:nvPicPr>
        <xdr:cNvPr id="2" name="Picture 0" descr="VietHealth_Logo.jpg">
          <a:extLst>
            <a:ext uri="{FF2B5EF4-FFF2-40B4-BE49-F238E27FC236}">
              <a16:creationId xmlns:a16="http://schemas.microsoft.com/office/drawing/2014/main" id="{4B6A098D-06C0-4D68-B7E0-FE2063571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76200"/>
          <a:ext cx="188459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76200</xdr:rowOff>
    </xdr:from>
    <xdr:to>
      <xdr:col>2</xdr:col>
      <xdr:colOff>408215</xdr:colOff>
      <xdr:row>2</xdr:row>
      <xdr:rowOff>123825</xdr:rowOff>
    </xdr:to>
    <xdr:pic>
      <xdr:nvPicPr>
        <xdr:cNvPr id="2" name="Picture 0" descr="VietHealth_Logo.jpg">
          <a:extLst>
            <a:ext uri="{FF2B5EF4-FFF2-40B4-BE49-F238E27FC236}">
              <a16:creationId xmlns:a16="http://schemas.microsoft.com/office/drawing/2014/main" id="{362A3C67-56BC-448F-9D44-717476A15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206556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9AD3-B64A-4A8B-89E0-EF92B46057B1}">
  <dimension ref="A1:V22"/>
  <sheetViews>
    <sheetView topLeftCell="C6" zoomScale="90" zoomScaleNormal="90" workbookViewId="0">
      <selection activeCell="H15" sqref="H15"/>
    </sheetView>
  </sheetViews>
  <sheetFormatPr defaultColWidth="10.875" defaultRowHeight="15.75" x14ac:dyDescent="0.25"/>
  <cols>
    <col min="1" max="1" width="4.375" style="1" bestFit="1" customWidth="1"/>
    <col min="2" max="2" width="16.125" style="1" customWidth="1"/>
    <col min="3" max="3" width="13.75" style="1" customWidth="1"/>
    <col min="4" max="4" width="8.5" style="1" customWidth="1"/>
    <col min="5" max="5" width="12.75" style="1" customWidth="1"/>
    <col min="6" max="6" width="10.5" style="1" customWidth="1"/>
    <col min="7" max="7" width="29.375" style="1" customWidth="1"/>
    <col min="8" max="8" width="27.25" style="1" customWidth="1"/>
    <col min="9" max="9" width="18.25" style="1" customWidth="1"/>
    <col min="10" max="10" width="11.25" style="1" customWidth="1"/>
    <col min="11" max="11" width="16" style="1" customWidth="1"/>
    <col min="12" max="12" width="6.375" style="1" customWidth="1"/>
    <col min="13" max="14" width="7" style="1" customWidth="1"/>
    <col min="15" max="18" width="6.25" style="1" customWidth="1"/>
    <col min="19" max="19" width="7.375" style="7" customWidth="1"/>
    <col min="20" max="20" width="9.125" style="1" customWidth="1"/>
    <col min="21" max="21" width="10.375" style="1" customWidth="1"/>
    <col min="22" max="22" width="21.125" style="1" customWidth="1"/>
    <col min="23" max="16384" width="10.875" style="1"/>
  </cols>
  <sheetData>
    <row r="1" spans="1:22" s="3" customFormat="1" ht="30.75" customHeight="1" x14ac:dyDescent="0.25">
      <c r="A1" s="51" t="s">
        <v>15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</row>
    <row r="2" spans="1:22" s="3" customFormat="1" ht="15.75" customHeight="1" x14ac:dyDescent="0.3">
      <c r="A2" s="52" t="s">
        <v>32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 s="3" customFormat="1" ht="18.75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</row>
    <row r="4" spans="1:22" s="3" customFormat="1" x14ac:dyDescent="0.25">
      <c r="M4" s="4"/>
      <c r="N4" s="4"/>
      <c r="O4" s="4"/>
      <c r="P4" s="5"/>
      <c r="Q4" s="5"/>
      <c r="R4" s="5"/>
      <c r="S4" s="6"/>
    </row>
    <row r="5" spans="1:22" s="2" customFormat="1" ht="21.75" customHeight="1" x14ac:dyDescent="0.25">
      <c r="A5" s="53" t="s">
        <v>0</v>
      </c>
      <c r="B5" s="53" t="s">
        <v>17</v>
      </c>
      <c r="C5" s="53" t="s">
        <v>19</v>
      </c>
      <c r="D5" s="53" t="s">
        <v>18</v>
      </c>
      <c r="E5" s="53" t="s">
        <v>6</v>
      </c>
      <c r="F5" s="53" t="s">
        <v>21</v>
      </c>
      <c r="G5" s="55" t="s">
        <v>16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</row>
    <row r="6" spans="1:22" s="7" customFormat="1" ht="63" x14ac:dyDescent="0.25">
      <c r="A6" s="54"/>
      <c r="B6" s="54"/>
      <c r="C6" s="54"/>
      <c r="D6" s="54"/>
      <c r="E6" s="54"/>
      <c r="F6" s="54"/>
      <c r="G6" s="17" t="s">
        <v>3</v>
      </c>
      <c r="H6" s="17" t="s">
        <v>31</v>
      </c>
      <c r="I6" s="17" t="s">
        <v>10</v>
      </c>
      <c r="J6" s="17" t="s">
        <v>2</v>
      </c>
      <c r="K6" s="17" t="s">
        <v>4</v>
      </c>
      <c r="L6" s="17" t="s">
        <v>5</v>
      </c>
      <c r="M6" s="17" t="s">
        <v>8</v>
      </c>
      <c r="N6" s="17" t="s">
        <v>24</v>
      </c>
      <c r="O6" s="17"/>
      <c r="P6" s="17"/>
      <c r="Q6" s="17"/>
      <c r="R6" s="17" t="s">
        <v>25</v>
      </c>
      <c r="S6" s="17" t="s">
        <v>14</v>
      </c>
      <c r="T6" s="17" t="s">
        <v>22</v>
      </c>
      <c r="U6" s="17" t="s">
        <v>26</v>
      </c>
      <c r="V6" s="17" t="s">
        <v>11</v>
      </c>
    </row>
    <row r="7" spans="1:22" s="8" customFormat="1" ht="15.75" customHeight="1" x14ac:dyDescent="0.25">
      <c r="A7" s="56" t="s">
        <v>7</v>
      </c>
      <c r="B7" s="56"/>
      <c r="C7" s="56"/>
      <c r="D7" s="56"/>
      <c r="E7" s="56"/>
      <c r="F7" s="56"/>
      <c r="G7" s="11"/>
      <c r="H7" s="11"/>
      <c r="I7" s="11"/>
      <c r="J7" s="11"/>
      <c r="K7" s="11"/>
      <c r="L7" s="11"/>
      <c r="M7" s="12">
        <f>SUM(G7:L7)</f>
        <v>0</v>
      </c>
      <c r="N7" s="12"/>
      <c r="O7" s="11"/>
      <c r="P7" s="11"/>
      <c r="Q7" s="12"/>
      <c r="R7" s="12"/>
      <c r="S7" s="12">
        <v>150</v>
      </c>
      <c r="T7" s="12"/>
      <c r="U7" s="12"/>
      <c r="V7" s="12"/>
    </row>
    <row r="8" spans="1:22" ht="24" customHeight="1" x14ac:dyDescent="0.25">
      <c r="A8" s="57">
        <v>1</v>
      </c>
      <c r="B8" s="13"/>
      <c r="C8" s="59"/>
      <c r="D8" s="57"/>
      <c r="E8" s="57"/>
      <c r="F8" s="57"/>
      <c r="G8" s="13"/>
      <c r="H8" s="13"/>
      <c r="I8" s="13"/>
      <c r="J8" s="13"/>
      <c r="K8" s="13"/>
      <c r="L8" s="13"/>
      <c r="M8" s="10"/>
      <c r="N8" s="61"/>
      <c r="O8" s="13"/>
      <c r="P8" s="13"/>
      <c r="Q8" s="10"/>
      <c r="R8" s="61"/>
      <c r="S8" s="61"/>
      <c r="T8" s="63"/>
      <c r="U8" s="15"/>
      <c r="V8" s="13"/>
    </row>
    <row r="9" spans="1:22" ht="24" customHeight="1" x14ac:dyDescent="0.25">
      <c r="A9" s="58"/>
      <c r="B9" s="14"/>
      <c r="C9" s="60"/>
      <c r="D9" s="58"/>
      <c r="E9" s="58"/>
      <c r="F9" s="58"/>
      <c r="G9" s="14"/>
      <c r="H9" s="14"/>
      <c r="I9" s="14"/>
      <c r="J9" s="14"/>
      <c r="K9" s="14"/>
      <c r="L9" s="14"/>
      <c r="M9" s="10"/>
      <c r="N9" s="62"/>
      <c r="O9" s="14"/>
      <c r="P9" s="14"/>
      <c r="Q9" s="10"/>
      <c r="R9" s="62"/>
      <c r="S9" s="62"/>
      <c r="T9" s="64"/>
      <c r="U9" s="16"/>
      <c r="V9" s="14"/>
    </row>
    <row r="10" spans="1:22" ht="24" customHeight="1" x14ac:dyDescent="0.25">
      <c r="A10" s="57">
        <v>2</v>
      </c>
      <c r="B10" s="13"/>
      <c r="C10" s="59"/>
      <c r="D10" s="57"/>
      <c r="E10" s="57"/>
      <c r="F10" s="57"/>
      <c r="G10" s="13"/>
      <c r="H10" s="13"/>
      <c r="I10" s="13"/>
      <c r="J10" s="13"/>
      <c r="K10" s="13"/>
      <c r="L10" s="13"/>
      <c r="M10" s="10"/>
      <c r="N10" s="61"/>
      <c r="O10" s="13"/>
      <c r="P10" s="13"/>
      <c r="Q10" s="10"/>
      <c r="R10" s="61"/>
      <c r="S10" s="61"/>
      <c r="T10" s="63"/>
      <c r="U10" s="15"/>
      <c r="V10" s="13"/>
    </row>
    <row r="11" spans="1:22" ht="24" customHeight="1" x14ac:dyDescent="0.25">
      <c r="A11" s="58"/>
      <c r="B11" s="14"/>
      <c r="C11" s="60"/>
      <c r="D11" s="58"/>
      <c r="E11" s="58"/>
      <c r="F11" s="58"/>
      <c r="G11" s="14"/>
      <c r="H11" s="14"/>
      <c r="I11" s="14"/>
      <c r="J11" s="14"/>
      <c r="K11" s="14"/>
      <c r="L11" s="14"/>
      <c r="M11" s="10"/>
      <c r="N11" s="62"/>
      <c r="O11" s="14"/>
      <c r="P11" s="14"/>
      <c r="Q11" s="10"/>
      <c r="R11" s="62"/>
      <c r="S11" s="62"/>
      <c r="T11" s="64"/>
      <c r="U11" s="16"/>
      <c r="V11" s="14"/>
    </row>
    <row r="12" spans="1:22" hidden="1" x14ac:dyDescent="0.25">
      <c r="A12" s="57">
        <v>3</v>
      </c>
      <c r="B12" s="13"/>
      <c r="C12" s="59"/>
      <c r="D12" s="57" t="s">
        <v>20</v>
      </c>
      <c r="E12" s="57" t="s">
        <v>27</v>
      </c>
      <c r="F12" s="57" t="s">
        <v>23</v>
      </c>
      <c r="G12" s="13">
        <v>10</v>
      </c>
      <c r="H12" s="13">
        <v>10</v>
      </c>
      <c r="I12" s="13">
        <v>13</v>
      </c>
      <c r="J12" s="13">
        <v>8</v>
      </c>
      <c r="K12" s="13">
        <v>12</v>
      </c>
      <c r="L12" s="13">
        <v>10</v>
      </c>
      <c r="M12" s="10">
        <f t="shared" ref="M12:M13" si="0">SUM(G12:L12)</f>
        <v>63</v>
      </c>
      <c r="N12" s="10">
        <f>(M12+M13)/2</f>
        <v>67</v>
      </c>
      <c r="O12" s="13">
        <v>8</v>
      </c>
      <c r="P12" s="13">
        <v>9</v>
      </c>
      <c r="Q12" s="10">
        <f t="shared" ref="Q12:Q13" si="1">SUM(O12:P12)</f>
        <v>17</v>
      </c>
      <c r="R12" s="10"/>
      <c r="S12" s="10">
        <f>N12+R13</f>
        <v>89</v>
      </c>
      <c r="T12" s="63" t="s">
        <v>28</v>
      </c>
      <c r="U12" s="15" t="s">
        <v>30</v>
      </c>
      <c r="V12" s="13" t="s">
        <v>29</v>
      </c>
    </row>
    <row r="13" spans="1:22" hidden="1" x14ac:dyDescent="0.25">
      <c r="A13" s="58"/>
      <c r="B13" s="14"/>
      <c r="C13" s="60"/>
      <c r="D13" s="58"/>
      <c r="E13" s="58"/>
      <c r="F13" s="58"/>
      <c r="G13" s="14">
        <v>12</v>
      </c>
      <c r="H13" s="14">
        <v>10</v>
      </c>
      <c r="I13" s="14">
        <v>17</v>
      </c>
      <c r="J13" s="14">
        <v>8</v>
      </c>
      <c r="K13" s="14">
        <v>14</v>
      </c>
      <c r="L13" s="14">
        <v>10</v>
      </c>
      <c r="M13" s="10">
        <f t="shared" si="0"/>
        <v>71</v>
      </c>
      <c r="N13" s="10"/>
      <c r="O13" s="14">
        <v>10</v>
      </c>
      <c r="P13" s="14">
        <v>12</v>
      </c>
      <c r="Q13" s="10">
        <f t="shared" si="1"/>
        <v>22</v>
      </c>
      <c r="R13" s="10">
        <f>Q13</f>
        <v>22</v>
      </c>
      <c r="S13" s="10"/>
      <c r="T13" s="64"/>
      <c r="U13" s="16"/>
      <c r="V13" s="14"/>
    </row>
    <row r="14" spans="1:22" x14ac:dyDescent="0.25">
      <c r="O14" s="65"/>
      <c r="P14" s="65"/>
      <c r="Q14" s="9"/>
      <c r="R14" s="9"/>
    </row>
    <row r="15" spans="1:22" ht="31.5" x14ac:dyDescent="0.25">
      <c r="G15" s="1" t="s">
        <v>33</v>
      </c>
      <c r="K15" s="1" t="s">
        <v>36</v>
      </c>
    </row>
    <row r="16" spans="1:22" ht="31.5" x14ac:dyDescent="0.25">
      <c r="G16" s="18" t="s">
        <v>34</v>
      </c>
      <c r="K16" s="1" t="s">
        <v>41</v>
      </c>
    </row>
    <row r="17" spans="7:11" ht="31.5" x14ac:dyDescent="0.25">
      <c r="G17" s="19" t="s">
        <v>35</v>
      </c>
      <c r="K17" s="1" t="s">
        <v>42</v>
      </c>
    </row>
    <row r="18" spans="7:11" ht="31.5" x14ac:dyDescent="0.25">
      <c r="G18" s="19" t="s">
        <v>37</v>
      </c>
      <c r="K18" s="1" t="s">
        <v>43</v>
      </c>
    </row>
    <row r="20" spans="7:11" x14ac:dyDescent="0.25">
      <c r="G20" s="1" t="s">
        <v>38</v>
      </c>
    </row>
    <row r="21" spans="7:11" x14ac:dyDescent="0.25">
      <c r="G21" s="1" t="s">
        <v>39</v>
      </c>
    </row>
    <row r="22" spans="7:11" x14ac:dyDescent="0.25">
      <c r="G22" s="1" t="s">
        <v>40</v>
      </c>
    </row>
  </sheetData>
  <mergeCells count="36">
    <mergeCell ref="O14:P14"/>
    <mergeCell ref="R10:R11"/>
    <mergeCell ref="S10:S11"/>
    <mergeCell ref="T10:T11"/>
    <mergeCell ref="A12:A13"/>
    <mergeCell ref="C12:C13"/>
    <mergeCell ref="D12:D13"/>
    <mergeCell ref="E12:E13"/>
    <mergeCell ref="F12:F13"/>
    <mergeCell ref="T12:T13"/>
    <mergeCell ref="N8:N9"/>
    <mergeCell ref="R8:R9"/>
    <mergeCell ref="S8:S9"/>
    <mergeCell ref="T8:T9"/>
    <mergeCell ref="A10:A11"/>
    <mergeCell ref="C10:C11"/>
    <mergeCell ref="D10:D11"/>
    <mergeCell ref="E10:E11"/>
    <mergeCell ref="F10:F11"/>
    <mergeCell ref="N10:N11"/>
    <mergeCell ref="A7:F7"/>
    <mergeCell ref="A8:A9"/>
    <mergeCell ref="C8:C9"/>
    <mergeCell ref="D8:D9"/>
    <mergeCell ref="E8:E9"/>
    <mergeCell ref="F8:F9"/>
    <mergeCell ref="A1:V1"/>
    <mergeCell ref="A2:V2"/>
    <mergeCell ref="A3:V3"/>
    <mergeCell ref="A5:A6"/>
    <mergeCell ref="B5:B6"/>
    <mergeCell ref="C5:C6"/>
    <mergeCell ref="D5:D6"/>
    <mergeCell ref="E5:E6"/>
    <mergeCell ref="F5:F6"/>
    <mergeCell ref="G5:V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A05A-0162-43D8-B44E-1E5989C502ED}">
  <sheetPr>
    <pageSetUpPr fitToPage="1"/>
  </sheetPr>
  <dimension ref="A1:V14"/>
  <sheetViews>
    <sheetView tabSelected="1" zoomScale="90" zoomScaleNormal="90" workbookViewId="0">
      <selection activeCell="V17" sqref="V17"/>
    </sheetView>
  </sheetViews>
  <sheetFormatPr defaultColWidth="10.875" defaultRowHeight="15.75" x14ac:dyDescent="0.25"/>
  <cols>
    <col min="1" max="1" width="4.375" style="33" bestFit="1" customWidth="1"/>
    <col min="2" max="2" width="16.125" style="33" customWidth="1"/>
    <col min="3" max="3" width="13.75" style="33" customWidth="1"/>
    <col min="4" max="4" width="8.5" style="33" customWidth="1"/>
    <col min="5" max="5" width="12.75" style="33" customWidth="1"/>
    <col min="6" max="6" width="10.5" style="33" customWidth="1"/>
    <col min="7" max="7" width="7.25" style="33" customWidth="1"/>
    <col min="8" max="8" width="7" style="33" customWidth="1"/>
    <col min="9" max="9" width="6.5" style="33" customWidth="1"/>
    <col min="10" max="10" width="6.125" style="33" customWidth="1"/>
    <col min="11" max="11" width="8.375" style="33" customWidth="1"/>
    <col min="12" max="12" width="6.375" style="33" customWidth="1"/>
    <col min="13" max="14" width="7" style="33" customWidth="1"/>
    <col min="15" max="18" width="6.25" style="33" customWidth="1"/>
    <col min="19" max="19" width="7.375" style="37" customWidth="1"/>
    <col min="20" max="20" width="9.125" style="33" customWidth="1"/>
    <col min="21" max="21" width="10.375" style="33" customWidth="1"/>
    <col min="22" max="22" width="21.125" style="33" customWidth="1"/>
    <col min="23" max="16384" width="10.875" style="33"/>
  </cols>
  <sheetData>
    <row r="1" spans="1:22" s="20" customFormat="1" ht="30.75" customHeight="1" x14ac:dyDescent="0.25">
      <c r="A1" s="43" t="s">
        <v>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2" s="20" customFormat="1" ht="15.75" customHeight="1" x14ac:dyDescent="0.3">
      <c r="A2" s="44" t="s">
        <v>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s="20" customFormat="1" ht="18.75" x14ac:dyDescent="0.3">
      <c r="A3" s="44" t="s">
        <v>47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 spans="1:22" s="20" customFormat="1" x14ac:dyDescent="0.25">
      <c r="M4" s="21"/>
      <c r="N4" s="21"/>
      <c r="O4" s="21"/>
      <c r="P4" s="22"/>
      <c r="Q4" s="22"/>
      <c r="R4" s="22"/>
      <c r="S4" s="23"/>
    </row>
    <row r="5" spans="1:22" s="25" customFormat="1" ht="21.75" customHeight="1" x14ac:dyDescent="0.25">
      <c r="A5" s="46" t="s">
        <v>0</v>
      </c>
      <c r="B5" s="46" t="s">
        <v>17</v>
      </c>
      <c r="C5" s="46" t="s">
        <v>19</v>
      </c>
      <c r="D5" s="46" t="s">
        <v>18</v>
      </c>
      <c r="E5" s="46" t="s">
        <v>6</v>
      </c>
      <c r="F5" s="46" t="s">
        <v>44</v>
      </c>
      <c r="G5" s="45" t="s">
        <v>16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</row>
    <row r="6" spans="1:22" s="26" customFormat="1" ht="94.5" x14ac:dyDescent="0.25">
      <c r="A6" s="47"/>
      <c r="B6" s="47"/>
      <c r="C6" s="47"/>
      <c r="D6" s="47"/>
      <c r="E6" s="47"/>
      <c r="F6" s="47"/>
      <c r="G6" s="24" t="s">
        <v>3</v>
      </c>
      <c r="H6" s="24" t="s">
        <v>1</v>
      </c>
      <c r="I6" s="24" t="s">
        <v>10</v>
      </c>
      <c r="J6" s="24" t="s">
        <v>2</v>
      </c>
      <c r="K6" s="24" t="s">
        <v>4</v>
      </c>
      <c r="L6" s="24" t="s">
        <v>5</v>
      </c>
      <c r="M6" s="24" t="s">
        <v>8</v>
      </c>
      <c r="N6" s="24" t="s">
        <v>24</v>
      </c>
      <c r="O6" s="24" t="s">
        <v>12</v>
      </c>
      <c r="P6" s="24" t="s">
        <v>13</v>
      </c>
      <c r="Q6" s="24" t="s">
        <v>9</v>
      </c>
      <c r="R6" s="24" t="s">
        <v>25</v>
      </c>
      <c r="S6" s="24" t="s">
        <v>14</v>
      </c>
      <c r="T6" s="24" t="s">
        <v>45</v>
      </c>
      <c r="U6" s="24" t="s">
        <v>26</v>
      </c>
      <c r="V6" s="24" t="s">
        <v>11</v>
      </c>
    </row>
    <row r="7" spans="1:22" s="29" customFormat="1" ht="15.75" customHeight="1" x14ac:dyDescent="0.25">
      <c r="A7" s="50" t="s">
        <v>7</v>
      </c>
      <c r="B7" s="50"/>
      <c r="C7" s="50"/>
      <c r="D7" s="50"/>
      <c r="E7" s="50"/>
      <c r="F7" s="50"/>
      <c r="G7" s="28">
        <v>20</v>
      </c>
      <c r="H7" s="28">
        <v>20</v>
      </c>
      <c r="I7" s="28">
        <v>20</v>
      </c>
      <c r="J7" s="28">
        <v>15</v>
      </c>
      <c r="K7" s="28">
        <v>15</v>
      </c>
      <c r="L7" s="28">
        <v>10</v>
      </c>
      <c r="M7" s="27">
        <f>SUM(G7:L7)</f>
        <v>100</v>
      </c>
      <c r="N7" s="27"/>
      <c r="O7" s="28">
        <v>25</v>
      </c>
      <c r="P7" s="28">
        <v>25</v>
      </c>
      <c r="Q7" s="27">
        <v>50</v>
      </c>
      <c r="R7" s="27"/>
      <c r="S7" s="27">
        <v>150</v>
      </c>
      <c r="T7" s="27"/>
      <c r="U7" s="27"/>
      <c r="V7" s="27"/>
    </row>
    <row r="8" spans="1:22" ht="24" customHeight="1" x14ac:dyDescent="0.25">
      <c r="A8" s="38">
        <v>1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 spans="1:22" ht="24" customHeight="1" x14ac:dyDescent="0.25">
      <c r="A9" s="39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spans="1:22" ht="24" customHeight="1" x14ac:dyDescent="0.25">
      <c r="A10" s="38">
        <v>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2" ht="24" customHeight="1" x14ac:dyDescent="0.25">
      <c r="A11" s="39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spans="1:22" hidden="1" x14ac:dyDescent="0.25">
      <c r="A12" s="38">
        <v>3</v>
      </c>
      <c r="B12" s="30"/>
      <c r="C12" s="40"/>
      <c r="D12" s="38" t="s">
        <v>20</v>
      </c>
      <c r="E12" s="38" t="s">
        <v>27</v>
      </c>
      <c r="F12" s="38" t="s">
        <v>23</v>
      </c>
      <c r="G12" s="30">
        <v>10</v>
      </c>
      <c r="H12" s="30">
        <v>10</v>
      </c>
      <c r="I12" s="30">
        <v>13</v>
      </c>
      <c r="J12" s="30">
        <v>8</v>
      </c>
      <c r="K12" s="30">
        <v>12</v>
      </c>
      <c r="L12" s="30">
        <v>10</v>
      </c>
      <c r="M12" s="31">
        <f t="shared" ref="M12:M13" si="0">SUM(G12:L12)</f>
        <v>63</v>
      </c>
      <c r="N12" s="31">
        <f>(M12+M13)/2</f>
        <v>67</v>
      </c>
      <c r="O12" s="30">
        <v>8</v>
      </c>
      <c r="P12" s="30">
        <v>9</v>
      </c>
      <c r="Q12" s="31">
        <f t="shared" ref="Q12:Q13" si="1">SUM(O12:P12)</f>
        <v>17</v>
      </c>
      <c r="R12" s="31"/>
      <c r="S12" s="31">
        <f>N12+R13</f>
        <v>89</v>
      </c>
      <c r="T12" s="48" t="s">
        <v>28</v>
      </c>
      <c r="U12" s="32" t="s">
        <v>30</v>
      </c>
      <c r="V12" s="30" t="s">
        <v>29</v>
      </c>
    </row>
    <row r="13" spans="1:22" hidden="1" x14ac:dyDescent="0.25">
      <c r="A13" s="39"/>
      <c r="B13" s="34"/>
      <c r="C13" s="41"/>
      <c r="D13" s="39"/>
      <c r="E13" s="39"/>
      <c r="F13" s="39"/>
      <c r="G13" s="34">
        <v>12</v>
      </c>
      <c r="H13" s="34">
        <v>10</v>
      </c>
      <c r="I13" s="34">
        <v>17</v>
      </c>
      <c r="J13" s="34">
        <v>8</v>
      </c>
      <c r="K13" s="34">
        <v>14</v>
      </c>
      <c r="L13" s="34">
        <v>10</v>
      </c>
      <c r="M13" s="31">
        <f t="shared" si="0"/>
        <v>71</v>
      </c>
      <c r="N13" s="31"/>
      <c r="O13" s="34">
        <v>10</v>
      </c>
      <c r="P13" s="34">
        <v>12</v>
      </c>
      <c r="Q13" s="31">
        <f t="shared" si="1"/>
        <v>22</v>
      </c>
      <c r="R13" s="31">
        <f>Q13</f>
        <v>22</v>
      </c>
      <c r="S13" s="31"/>
      <c r="T13" s="49"/>
      <c r="U13" s="35"/>
      <c r="V13" s="34"/>
    </row>
    <row r="14" spans="1:22" x14ac:dyDescent="0.25">
      <c r="O14" s="42"/>
      <c r="P14" s="42"/>
      <c r="Q14" s="36"/>
      <c r="R14" s="36"/>
    </row>
  </sheetData>
  <mergeCells count="20">
    <mergeCell ref="O14:P14"/>
    <mergeCell ref="A1:V1"/>
    <mergeCell ref="A2:V2"/>
    <mergeCell ref="A3:V3"/>
    <mergeCell ref="G5:V5"/>
    <mergeCell ref="A5:A6"/>
    <mergeCell ref="B5:B6"/>
    <mergeCell ref="C5:C6"/>
    <mergeCell ref="D5:D6"/>
    <mergeCell ref="E5:E6"/>
    <mergeCell ref="F5:F6"/>
    <mergeCell ref="A8:A9"/>
    <mergeCell ref="A10:A11"/>
    <mergeCell ref="T12:T13"/>
    <mergeCell ref="A7:F7"/>
    <mergeCell ref="A12:A13"/>
    <mergeCell ref="C12:C13"/>
    <mergeCell ref="D12:D13"/>
    <mergeCell ref="E12:E13"/>
    <mergeCell ref="F12:F13"/>
  </mergeCells>
  <printOptions horizontalCentered="1"/>
  <pageMargins left="0.2" right="0.2" top="0.75" bottom="0.75" header="0.3" footer="0.3"/>
  <pageSetup paperSize="9" scale="6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095dde-1280-45bb-88ec-5f6c2fbb2825">
      <Terms xmlns="http://schemas.microsoft.com/office/infopath/2007/PartnerControls"/>
    </lcf76f155ced4ddcb4097134ff3c332f>
    <TaxCatchAll xmlns="73cbe15e-0e0f-42b4-a7bb-7ef21fb386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7C7A0FF1B3274F9F89474BC9BBECA2" ma:contentTypeVersion="18" ma:contentTypeDescription="Create a new document." ma:contentTypeScope="" ma:versionID="5a80b37164d7f8853f0dc5fb822c70b4">
  <xsd:schema xmlns:xsd="http://www.w3.org/2001/XMLSchema" xmlns:xs="http://www.w3.org/2001/XMLSchema" xmlns:p="http://schemas.microsoft.com/office/2006/metadata/properties" xmlns:ns2="aa095dde-1280-45bb-88ec-5f6c2fbb2825" xmlns:ns3="73cbe15e-0e0f-42b4-a7bb-7ef21fb38678" targetNamespace="http://schemas.microsoft.com/office/2006/metadata/properties" ma:root="true" ma:fieldsID="b47f124958c8f20deacfba34b1490dc8" ns2:_="" ns3:_="">
    <xsd:import namespace="aa095dde-1280-45bb-88ec-5f6c2fbb2825"/>
    <xsd:import namespace="73cbe15e-0e0f-42b4-a7bb-7ef21fb386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95dde-1280-45bb-88ec-5f6c2fbb2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b00a23f-525f-4840-836b-22544f9632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e15e-0e0f-42b4-a7bb-7ef21fb3867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40e6e05-29bd-4379-a550-dc22ae986d0a}" ma:internalName="TaxCatchAll" ma:showField="CatchAllData" ma:web="73cbe15e-0e0f-42b4-a7bb-7ef21fb38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201EC-6EE9-4C55-8E42-5918425883B0}">
  <ds:schemaRefs>
    <ds:schemaRef ds:uri="http://schemas.microsoft.com/office/2006/metadata/properties"/>
    <ds:schemaRef ds:uri="http://schemas.microsoft.com/office/infopath/2007/PartnerControls"/>
    <ds:schemaRef ds:uri="aa095dde-1280-45bb-88ec-5f6c2fbb2825"/>
    <ds:schemaRef ds:uri="73cbe15e-0e0f-42b4-a7bb-7ef21fb38678"/>
  </ds:schemaRefs>
</ds:datastoreItem>
</file>

<file path=customXml/itemProps2.xml><?xml version="1.0" encoding="utf-8"?>
<ds:datastoreItem xmlns:ds="http://schemas.openxmlformats.org/officeDocument/2006/customXml" ds:itemID="{B318D2E0-2D31-4D44-B052-364D3E2A25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F7018-15FB-40AF-9387-088FA124BD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095dde-1280-45bb-88ec-5f6c2fbb2825"/>
    <ds:schemaRef ds:uri="73cbe15e-0e0f-42b4-a7bb-7ef21fb386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 PHCN</vt:lpstr>
      <vt:lpstr>CBDA - 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Vũ Đình Tân</cp:lastModifiedBy>
  <cp:lastPrinted>2025-06-12T01:31:43Z</cp:lastPrinted>
  <dcterms:created xsi:type="dcterms:W3CDTF">2019-04-12T04:19:50Z</dcterms:created>
  <dcterms:modified xsi:type="dcterms:W3CDTF">2026-10-06T02:42:26Z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0x010100637C7A0FF1B3274F9F89474BC9BBECA2</vt:lpwstr>
  </property>
  <property fmtid="{D5CDD505-2E9C-101B-9397-08002B2CF9AE}" pid="3" name="MediaServiceImageTags">
    <vt:lpwstr/>
  </property>
</Properties>
</file>