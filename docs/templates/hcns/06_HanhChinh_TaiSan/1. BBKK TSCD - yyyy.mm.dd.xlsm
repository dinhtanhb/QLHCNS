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LHCNS\docs\templates\hcns\06_HanhChinh_TaiSan\"/>
    </mc:Choice>
  </mc:AlternateContent>
  <xr:revisionPtr revIDLastSave="0" documentId="13_ncr:1_{E6A9A373-4171-413B-A28E-77E11C278B54}" xr6:coauthVersionLast="47" xr6:coauthVersionMax="47" xr10:uidLastSave="{00000000-0000-0000-0000-000000000000}"/>
  <bookViews>
    <workbookView xWindow="-120" yWindow="-120" windowWidth="29040" windowHeight="15720" xr2:uid="{4A9CC7AB-2913-40D7-9783-8EB157287D92}"/>
  </bookViews>
  <sheets>
    <sheet name="Trang thiet bi" sheetId="1" r:id="rId1"/>
    <sheet name="Dán nhãn" sheetId="3" r:id="rId2"/>
    <sheet name="Nhãn KK" sheetId="4" r:id="rId3"/>
    <sheet name="Cách đọc mã" sheetId="2" r:id="rId4"/>
  </sheets>
  <definedNames>
    <definedName name="_xlnm._FilterDatabase" localSheetId="0" hidden="1">'Trang thiet bi'!$A$11:$N$98</definedName>
    <definedName name="Nguoilapphieu">'Trang thiet bi'!#REF!</definedName>
    <definedName name="NLBB">'Trang thiet bi'!#REF!</definedName>
    <definedName name="_xlnm.Print_Area" localSheetId="3">'Cách đọc mã'!$A$1:$F$31</definedName>
    <definedName name="_xlnm.Print_Area" localSheetId="0">'Trang thiet bi'!$A$1:$N$106</definedName>
    <definedName name="_xlnm.Print_Titles" localSheetId="1">'Dán nhãn'!$5:$5</definedName>
    <definedName name="_xlnm.Print_Titles" localSheetId="0">'Trang thiet bi'!$11:$11</definedName>
    <definedName name="TBKK">'Trang thiet bi'!#REF!</definedName>
    <definedName name="TVKK">'Trang thiet bi'!#REF!</definedName>
    <definedName name="TVKK1">'Trang thiet bi'!#REF!</definedName>
    <definedName name="TVKK2">'Trang thiet bi'!#REF!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4" i="3" l="1"/>
  <c r="F74" i="3" s="1"/>
  <c r="B74" i="3"/>
  <c r="C74" i="3"/>
  <c r="D74" i="3"/>
  <c r="E74" i="3"/>
  <c r="H74" i="3"/>
  <c r="A75" i="3"/>
  <c r="G75" i="3" s="1"/>
  <c r="B75" i="3"/>
  <c r="C75" i="3"/>
  <c r="D75" i="3"/>
  <c r="E75" i="3"/>
  <c r="H75" i="3"/>
  <c r="A76" i="3"/>
  <c r="G76" i="3" s="1"/>
  <c r="B76" i="3"/>
  <c r="C76" i="3"/>
  <c r="D76" i="3"/>
  <c r="E76" i="3"/>
  <c r="H76" i="3"/>
  <c r="A77" i="3"/>
  <c r="F77" i="3" s="1"/>
  <c r="B77" i="3"/>
  <c r="C77" i="3"/>
  <c r="D77" i="3"/>
  <c r="E77" i="3"/>
  <c r="H77" i="3"/>
  <c r="A78" i="3"/>
  <c r="G78" i="3" s="1"/>
  <c r="B78" i="3"/>
  <c r="C78" i="3"/>
  <c r="D78" i="3"/>
  <c r="E78" i="3"/>
  <c r="H78" i="3"/>
  <c r="A79" i="3"/>
  <c r="G79" i="3" s="1"/>
  <c r="B79" i="3"/>
  <c r="C79" i="3"/>
  <c r="D79" i="3"/>
  <c r="E79" i="3"/>
  <c r="H79" i="3"/>
  <c r="A80" i="3"/>
  <c r="F80" i="3" s="1"/>
  <c r="B80" i="3"/>
  <c r="C80" i="3"/>
  <c r="D80" i="3"/>
  <c r="E80" i="3"/>
  <c r="H80" i="3"/>
  <c r="A10" i="3"/>
  <c r="G10" i="3" s="1"/>
  <c r="B10" i="3"/>
  <c r="C10" i="3"/>
  <c r="D10" i="3"/>
  <c r="E10" i="3"/>
  <c r="H10" i="3"/>
  <c r="A11" i="3"/>
  <c r="G11" i="3" s="1"/>
  <c r="B11" i="3"/>
  <c r="C11" i="3"/>
  <c r="D11" i="3"/>
  <c r="E11" i="3"/>
  <c r="H11" i="3"/>
  <c r="A12" i="3"/>
  <c r="F12" i="3" s="1"/>
  <c r="B12" i="3"/>
  <c r="C12" i="3"/>
  <c r="D12" i="3"/>
  <c r="E12" i="3"/>
  <c r="H12" i="3"/>
  <c r="A13" i="3"/>
  <c r="G13" i="3" s="1"/>
  <c r="B13" i="3"/>
  <c r="C13" i="3"/>
  <c r="D13" i="3"/>
  <c r="E13" i="3"/>
  <c r="H13" i="3"/>
  <c r="A14" i="3"/>
  <c r="F14" i="3" s="1"/>
  <c r="B14" i="3"/>
  <c r="C14" i="3"/>
  <c r="D14" i="3"/>
  <c r="E14" i="3"/>
  <c r="H14" i="3"/>
  <c r="A15" i="3"/>
  <c r="G15" i="3" s="1"/>
  <c r="B15" i="3"/>
  <c r="C15" i="3"/>
  <c r="D15" i="3"/>
  <c r="E15" i="3"/>
  <c r="H15" i="3"/>
  <c r="A16" i="3"/>
  <c r="G16" i="3" s="1"/>
  <c r="B16" i="3"/>
  <c r="C16" i="3"/>
  <c r="D16" i="3"/>
  <c r="E16" i="3"/>
  <c r="H16" i="3"/>
  <c r="A17" i="3"/>
  <c r="F17" i="3" s="1"/>
  <c r="B17" i="3"/>
  <c r="C17" i="3"/>
  <c r="D17" i="3"/>
  <c r="E17" i="3"/>
  <c r="H17" i="3"/>
  <c r="A18" i="3"/>
  <c r="G18" i="3" s="1"/>
  <c r="B18" i="3"/>
  <c r="C18" i="3"/>
  <c r="D18" i="3"/>
  <c r="E18" i="3"/>
  <c r="H18" i="3"/>
  <c r="A19" i="3"/>
  <c r="G19" i="3" s="1"/>
  <c r="B19" i="3"/>
  <c r="C19" i="3"/>
  <c r="D19" i="3"/>
  <c r="E19" i="3"/>
  <c r="H19" i="3"/>
  <c r="A20" i="3"/>
  <c r="F20" i="3" s="1"/>
  <c r="B20" i="3"/>
  <c r="C20" i="3"/>
  <c r="D20" i="3"/>
  <c r="E20" i="3"/>
  <c r="H20" i="3"/>
  <c r="A21" i="3"/>
  <c r="G21" i="3" s="1"/>
  <c r="B21" i="3"/>
  <c r="C21" i="3"/>
  <c r="D21" i="3"/>
  <c r="E21" i="3"/>
  <c r="H21" i="3"/>
  <c r="A22" i="3"/>
  <c r="G22" i="3" s="1"/>
  <c r="B22" i="3"/>
  <c r="C22" i="3"/>
  <c r="D22" i="3"/>
  <c r="E22" i="3"/>
  <c r="H22" i="3"/>
  <c r="A23" i="3"/>
  <c r="F23" i="3" s="1"/>
  <c r="B23" i="3"/>
  <c r="C23" i="3"/>
  <c r="D23" i="3"/>
  <c r="E23" i="3"/>
  <c r="H23" i="3"/>
  <c r="A24" i="3"/>
  <c r="G24" i="3" s="1"/>
  <c r="B24" i="3"/>
  <c r="C24" i="3"/>
  <c r="D24" i="3"/>
  <c r="E24" i="3"/>
  <c r="H24" i="3"/>
  <c r="A25" i="3"/>
  <c r="G25" i="3" s="1"/>
  <c r="B25" i="3"/>
  <c r="C25" i="3"/>
  <c r="D25" i="3"/>
  <c r="E25" i="3"/>
  <c r="H25" i="3"/>
  <c r="A26" i="3"/>
  <c r="F26" i="3" s="1"/>
  <c r="B26" i="3"/>
  <c r="C26" i="3"/>
  <c r="D26" i="3"/>
  <c r="E26" i="3"/>
  <c r="H26" i="3"/>
  <c r="A27" i="3"/>
  <c r="G27" i="3" s="1"/>
  <c r="B27" i="3"/>
  <c r="C27" i="3"/>
  <c r="D27" i="3"/>
  <c r="E27" i="3"/>
  <c r="H27" i="3"/>
  <c r="A28" i="3"/>
  <c r="G28" i="3" s="1"/>
  <c r="B28" i="3"/>
  <c r="C28" i="3"/>
  <c r="D28" i="3"/>
  <c r="E28" i="3"/>
  <c r="H28" i="3"/>
  <c r="A29" i="3"/>
  <c r="F29" i="3" s="1"/>
  <c r="B29" i="3"/>
  <c r="C29" i="3"/>
  <c r="D29" i="3"/>
  <c r="E29" i="3"/>
  <c r="H29" i="3"/>
  <c r="A30" i="3"/>
  <c r="G30" i="3" s="1"/>
  <c r="B30" i="3"/>
  <c r="C30" i="3"/>
  <c r="D30" i="3"/>
  <c r="E30" i="3"/>
  <c r="H30" i="3"/>
  <c r="A31" i="3"/>
  <c r="G31" i="3" s="1"/>
  <c r="B31" i="3"/>
  <c r="C31" i="3"/>
  <c r="D31" i="3"/>
  <c r="E31" i="3"/>
  <c r="H31" i="3"/>
  <c r="A32" i="3"/>
  <c r="F32" i="3" s="1"/>
  <c r="B32" i="3"/>
  <c r="C32" i="3"/>
  <c r="D32" i="3"/>
  <c r="E32" i="3"/>
  <c r="H32" i="3"/>
  <c r="A33" i="3"/>
  <c r="G33" i="3" s="1"/>
  <c r="B33" i="3"/>
  <c r="C33" i="3"/>
  <c r="D33" i="3"/>
  <c r="E33" i="3"/>
  <c r="H33" i="3"/>
  <c r="A34" i="3"/>
  <c r="G34" i="3" s="1"/>
  <c r="B34" i="3"/>
  <c r="C34" i="3"/>
  <c r="D34" i="3"/>
  <c r="E34" i="3"/>
  <c r="H34" i="3"/>
  <c r="A35" i="3"/>
  <c r="F35" i="3" s="1"/>
  <c r="B35" i="3"/>
  <c r="C35" i="3"/>
  <c r="D35" i="3"/>
  <c r="E35" i="3"/>
  <c r="H35" i="3"/>
  <c r="A36" i="3"/>
  <c r="B36" i="3"/>
  <c r="A37" i="3"/>
  <c r="F37" i="3" s="1"/>
  <c r="B37" i="3"/>
  <c r="C37" i="3"/>
  <c r="D37" i="3"/>
  <c r="E37" i="3"/>
  <c r="H37" i="3"/>
  <c r="A38" i="3"/>
  <c r="F38" i="3" s="1"/>
  <c r="B38" i="3"/>
  <c r="C38" i="3"/>
  <c r="D38" i="3"/>
  <c r="E38" i="3"/>
  <c r="H38" i="3"/>
  <c r="A39" i="3"/>
  <c r="F39" i="3" s="1"/>
  <c r="B39" i="3"/>
  <c r="C39" i="3"/>
  <c r="D39" i="3"/>
  <c r="E39" i="3"/>
  <c r="H39" i="3"/>
  <c r="A40" i="3"/>
  <c r="F40" i="3" s="1"/>
  <c r="B40" i="3"/>
  <c r="C40" i="3"/>
  <c r="D40" i="3"/>
  <c r="E40" i="3"/>
  <c r="H40" i="3"/>
  <c r="A41" i="3"/>
  <c r="F41" i="3" s="1"/>
  <c r="B41" i="3"/>
  <c r="C41" i="3"/>
  <c r="D41" i="3"/>
  <c r="E41" i="3"/>
  <c r="H41" i="3"/>
  <c r="A42" i="3"/>
  <c r="F42" i="3" s="1"/>
  <c r="B42" i="3"/>
  <c r="C42" i="3"/>
  <c r="D42" i="3"/>
  <c r="E42" i="3"/>
  <c r="H42" i="3"/>
  <c r="A43" i="3"/>
  <c r="F43" i="3" s="1"/>
  <c r="B43" i="3"/>
  <c r="C43" i="3"/>
  <c r="D43" i="3"/>
  <c r="E43" i="3"/>
  <c r="H43" i="3"/>
  <c r="A44" i="3"/>
  <c r="F44" i="3" s="1"/>
  <c r="B44" i="3"/>
  <c r="C44" i="3"/>
  <c r="D44" i="3"/>
  <c r="E44" i="3"/>
  <c r="H44" i="3"/>
  <c r="A45" i="3"/>
  <c r="F45" i="3" s="1"/>
  <c r="B45" i="3"/>
  <c r="C45" i="3"/>
  <c r="D45" i="3"/>
  <c r="E45" i="3"/>
  <c r="H45" i="3"/>
  <c r="A46" i="3"/>
  <c r="F46" i="3" s="1"/>
  <c r="B46" i="3"/>
  <c r="C46" i="3"/>
  <c r="D46" i="3"/>
  <c r="E46" i="3"/>
  <c r="H46" i="3"/>
  <c r="A47" i="3"/>
  <c r="F47" i="3" s="1"/>
  <c r="B47" i="3"/>
  <c r="C47" i="3"/>
  <c r="D47" i="3"/>
  <c r="E47" i="3"/>
  <c r="H47" i="3"/>
  <c r="A48" i="3"/>
  <c r="F48" i="3" s="1"/>
  <c r="B48" i="3"/>
  <c r="C48" i="3"/>
  <c r="D48" i="3"/>
  <c r="E48" i="3"/>
  <c r="H48" i="3"/>
  <c r="A49" i="3"/>
  <c r="F49" i="3" s="1"/>
  <c r="B49" i="3"/>
  <c r="C49" i="3"/>
  <c r="D49" i="3"/>
  <c r="E49" i="3"/>
  <c r="H49" i="3"/>
  <c r="A50" i="3"/>
  <c r="F50" i="3" s="1"/>
  <c r="B50" i="3"/>
  <c r="C50" i="3"/>
  <c r="D50" i="3"/>
  <c r="E50" i="3"/>
  <c r="H50" i="3"/>
  <c r="A51" i="3"/>
  <c r="F51" i="3" s="1"/>
  <c r="B51" i="3"/>
  <c r="C51" i="3"/>
  <c r="D51" i="3"/>
  <c r="E51" i="3"/>
  <c r="H51" i="3"/>
  <c r="A52" i="3"/>
  <c r="F52" i="3" s="1"/>
  <c r="B52" i="3"/>
  <c r="C52" i="3"/>
  <c r="D52" i="3"/>
  <c r="E52" i="3"/>
  <c r="H52" i="3"/>
  <c r="A53" i="3"/>
  <c r="F53" i="3" s="1"/>
  <c r="B53" i="3"/>
  <c r="C53" i="3"/>
  <c r="D53" i="3"/>
  <c r="E53" i="3"/>
  <c r="H53" i="3"/>
  <c r="A54" i="3"/>
  <c r="F54" i="3" s="1"/>
  <c r="B54" i="3"/>
  <c r="C54" i="3"/>
  <c r="D54" i="3"/>
  <c r="E54" i="3"/>
  <c r="H54" i="3"/>
  <c r="A55" i="3"/>
  <c r="F55" i="3" s="1"/>
  <c r="B55" i="3"/>
  <c r="C55" i="3"/>
  <c r="D55" i="3"/>
  <c r="E55" i="3"/>
  <c r="H55" i="3"/>
  <c r="A56" i="3"/>
  <c r="F56" i="3" s="1"/>
  <c r="B56" i="3"/>
  <c r="C56" i="3"/>
  <c r="D56" i="3"/>
  <c r="E56" i="3"/>
  <c r="H56" i="3"/>
  <c r="A57" i="3"/>
  <c r="F57" i="3" s="1"/>
  <c r="B57" i="3"/>
  <c r="C57" i="3"/>
  <c r="D57" i="3"/>
  <c r="E57" i="3"/>
  <c r="H57" i="3"/>
  <c r="A58" i="3"/>
  <c r="F58" i="3" s="1"/>
  <c r="B58" i="3"/>
  <c r="C58" i="3"/>
  <c r="D58" i="3"/>
  <c r="E58" i="3"/>
  <c r="H58" i="3"/>
  <c r="A59" i="3"/>
  <c r="F59" i="3" s="1"/>
  <c r="B59" i="3"/>
  <c r="C59" i="3"/>
  <c r="D59" i="3"/>
  <c r="E59" i="3"/>
  <c r="H59" i="3"/>
  <c r="A60" i="3"/>
  <c r="F60" i="3" s="1"/>
  <c r="B60" i="3"/>
  <c r="C60" i="3"/>
  <c r="D60" i="3"/>
  <c r="E60" i="3"/>
  <c r="H60" i="3"/>
  <c r="A61" i="3"/>
  <c r="F61" i="3" s="1"/>
  <c r="B61" i="3"/>
  <c r="C61" i="3"/>
  <c r="D61" i="3"/>
  <c r="E61" i="3"/>
  <c r="H61" i="3"/>
  <c r="A62" i="3"/>
  <c r="F62" i="3" s="1"/>
  <c r="B62" i="3"/>
  <c r="C62" i="3"/>
  <c r="D62" i="3"/>
  <c r="E62" i="3"/>
  <c r="H62" i="3"/>
  <c r="A63" i="3"/>
  <c r="F63" i="3" s="1"/>
  <c r="B63" i="3"/>
  <c r="C63" i="3"/>
  <c r="D63" i="3"/>
  <c r="E63" i="3"/>
  <c r="H63" i="3"/>
  <c r="A64" i="3"/>
  <c r="F64" i="3" s="1"/>
  <c r="B64" i="3"/>
  <c r="C64" i="3"/>
  <c r="D64" i="3"/>
  <c r="E64" i="3"/>
  <c r="H64" i="3"/>
  <c r="A65" i="3"/>
  <c r="F65" i="3" s="1"/>
  <c r="B65" i="3"/>
  <c r="C65" i="3"/>
  <c r="D65" i="3"/>
  <c r="E65" i="3"/>
  <c r="H65" i="3"/>
  <c r="A66" i="3"/>
  <c r="F66" i="3" s="1"/>
  <c r="B66" i="3"/>
  <c r="C66" i="3"/>
  <c r="D66" i="3"/>
  <c r="E66" i="3"/>
  <c r="H66" i="3"/>
  <c r="A67" i="3"/>
  <c r="F67" i="3" s="1"/>
  <c r="B67" i="3"/>
  <c r="C67" i="3"/>
  <c r="D67" i="3"/>
  <c r="E67" i="3"/>
  <c r="H67" i="3"/>
  <c r="A68" i="3"/>
  <c r="F68" i="3" s="1"/>
  <c r="B68" i="3"/>
  <c r="C68" i="3"/>
  <c r="D68" i="3"/>
  <c r="E68" i="3"/>
  <c r="H68" i="3"/>
  <c r="A69" i="3"/>
  <c r="F69" i="3" s="1"/>
  <c r="B69" i="3"/>
  <c r="C69" i="3"/>
  <c r="D69" i="3"/>
  <c r="E69" i="3"/>
  <c r="H69" i="3"/>
  <c r="A70" i="3"/>
  <c r="F70" i="3" s="1"/>
  <c r="B70" i="3"/>
  <c r="C70" i="3"/>
  <c r="D70" i="3"/>
  <c r="E70" i="3"/>
  <c r="H70" i="3"/>
  <c r="A71" i="3"/>
  <c r="F71" i="3" s="1"/>
  <c r="B71" i="3"/>
  <c r="C71" i="3"/>
  <c r="D71" i="3"/>
  <c r="E71" i="3"/>
  <c r="H71" i="3"/>
  <c r="A72" i="3"/>
  <c r="F72" i="3" s="1"/>
  <c r="B72" i="3"/>
  <c r="C72" i="3"/>
  <c r="D72" i="3"/>
  <c r="E72" i="3"/>
  <c r="H72" i="3"/>
  <c r="A73" i="3"/>
  <c r="F73" i="3" s="1"/>
  <c r="B73" i="3"/>
  <c r="C73" i="3"/>
  <c r="D73" i="3"/>
  <c r="E73" i="3"/>
  <c r="H73" i="3"/>
  <c r="D8" i="3"/>
  <c r="E8" i="3"/>
  <c r="D9" i="3"/>
  <c r="E9" i="3"/>
  <c r="E7" i="3"/>
  <c r="H7" i="3"/>
  <c r="H8" i="3"/>
  <c r="H9" i="3"/>
  <c r="A7" i="3"/>
  <c r="G7" i="3" s="1"/>
  <c r="B7" i="3"/>
  <c r="C7" i="3"/>
  <c r="D7" i="3"/>
  <c r="A8" i="3"/>
  <c r="F8" i="3" s="1"/>
  <c r="B8" i="3"/>
  <c r="C8" i="3"/>
  <c r="A9" i="3"/>
  <c r="G9" i="3" s="1"/>
  <c r="B9" i="3"/>
  <c r="C9" i="3"/>
  <c r="B6" i="3"/>
  <c r="A6" i="3"/>
  <c r="F7" i="3" l="1"/>
  <c r="F9" i="3"/>
  <c r="G77" i="3"/>
  <c r="G35" i="3"/>
  <c r="G32" i="3"/>
  <c r="G29" i="3"/>
  <c r="G26" i="3"/>
  <c r="G23" i="3"/>
  <c r="G20" i="3"/>
  <c r="G17" i="3"/>
  <c r="G14" i="3"/>
  <c r="G12" i="3"/>
  <c r="G80" i="3"/>
  <c r="G74" i="3"/>
  <c r="F34" i="3"/>
  <c r="F33" i="3"/>
  <c r="F31" i="3"/>
  <c r="F30" i="3"/>
  <c r="F28" i="3"/>
  <c r="F27" i="3"/>
  <c r="F25" i="3"/>
  <c r="F24" i="3"/>
  <c r="F22" i="3"/>
  <c r="F21" i="3"/>
  <c r="F19" i="3"/>
  <c r="F18" i="3"/>
  <c r="F16" i="3"/>
  <c r="F15" i="3"/>
  <c r="F13" i="3"/>
  <c r="F11" i="3"/>
  <c r="F10" i="3"/>
  <c r="F79" i="3"/>
  <c r="F78" i="3"/>
  <c r="F76" i="3"/>
  <c r="F75" i="3"/>
  <c r="G8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B2" i="4"/>
  <c r="B3" i="4" s="1"/>
  <c r="B4" i="4" s="1"/>
  <c r="C2" i="4" l="1"/>
  <c r="D2" i="4" s="1"/>
  <c r="C3" i="4"/>
  <c r="D3" i="4" s="1"/>
  <c r="B5" i="4"/>
  <c r="C4" i="4"/>
  <c r="D4" i="4" s="1"/>
  <c r="B6" i="4" l="1"/>
  <c r="C5" i="4"/>
  <c r="D5" i="4" s="1"/>
  <c r="B7" i="4" l="1"/>
  <c r="C6" i="4"/>
  <c r="D6" i="4" s="1"/>
  <c r="B8" i="4" l="1"/>
  <c r="C7" i="4"/>
  <c r="D7" i="4" s="1"/>
  <c r="B9" i="4" l="1"/>
  <c r="C8" i="4"/>
  <c r="D8" i="4" s="1"/>
  <c r="B10" i="4" l="1"/>
  <c r="C9" i="4"/>
  <c r="D9" i="4" s="1"/>
  <c r="B11" i="4" l="1"/>
  <c r="C10" i="4"/>
  <c r="D10" i="4" s="1"/>
  <c r="B12" i="4" l="1"/>
  <c r="C11" i="4"/>
  <c r="D11" i="4" s="1"/>
  <c r="B13" i="4" l="1"/>
  <c r="C12" i="4"/>
  <c r="D12" i="4" s="1"/>
  <c r="B14" i="4" l="1"/>
  <c r="C13" i="4"/>
  <c r="D13" i="4" s="1"/>
  <c r="B15" i="4" l="1"/>
  <c r="C14" i="4"/>
  <c r="D14" i="4" s="1"/>
  <c r="B16" i="4" l="1"/>
  <c r="C15" i="4"/>
  <c r="D15" i="4" s="1"/>
  <c r="B17" i="4" l="1"/>
  <c r="C16" i="4"/>
  <c r="D16" i="4" s="1"/>
  <c r="B18" i="4" l="1"/>
  <c r="C17" i="4"/>
  <c r="D17" i="4" s="1"/>
  <c r="B19" i="4" l="1"/>
  <c r="C18" i="4"/>
  <c r="D18" i="4" s="1"/>
  <c r="B20" i="4" l="1"/>
  <c r="C19" i="4"/>
  <c r="D19" i="4" s="1"/>
  <c r="B21" i="4" l="1"/>
  <c r="C20" i="4"/>
  <c r="D20" i="4" s="1"/>
  <c r="B22" i="4" l="1"/>
  <c r="C21" i="4"/>
  <c r="D21" i="4" s="1"/>
  <c r="B23" i="4" l="1"/>
  <c r="C22" i="4"/>
  <c r="D22" i="4" s="1"/>
  <c r="B24" i="4" l="1"/>
  <c r="C23" i="4"/>
  <c r="D23" i="4" s="1"/>
  <c r="B25" i="4" l="1"/>
  <c r="C24" i="4"/>
  <c r="D24" i="4" s="1"/>
  <c r="B26" i="4" l="1"/>
  <c r="C25" i="4"/>
  <c r="D25" i="4" s="1"/>
  <c r="B27" i="4" l="1"/>
  <c r="C26" i="4"/>
  <c r="D26" i="4" s="1"/>
  <c r="B28" i="4" l="1"/>
  <c r="C27" i="4"/>
  <c r="D27" i="4" s="1"/>
  <c r="B29" i="4" l="1"/>
  <c r="C28" i="4"/>
  <c r="D28" i="4" s="1"/>
  <c r="B30" i="4" l="1"/>
  <c r="C29" i="4"/>
  <c r="D29" i="4" s="1"/>
  <c r="B31" i="4" l="1"/>
  <c r="C30" i="4"/>
  <c r="D30" i="4" s="1"/>
  <c r="B32" i="4" l="1"/>
  <c r="C31" i="4"/>
  <c r="D31" i="4" s="1"/>
  <c r="B33" i="4" l="1"/>
  <c r="C32" i="4"/>
  <c r="D32" i="4" s="1"/>
  <c r="B34" i="4" l="1"/>
  <c r="C33" i="4"/>
  <c r="D33" i="4" s="1"/>
  <c r="B35" i="4" l="1"/>
  <c r="C34" i="4"/>
  <c r="D34" i="4" s="1"/>
  <c r="B36" i="4" l="1"/>
  <c r="C35" i="4"/>
  <c r="D35" i="4" s="1"/>
  <c r="B37" i="4" l="1"/>
  <c r="C36" i="4"/>
  <c r="D36" i="4" s="1"/>
  <c r="B38" i="4" l="1"/>
  <c r="C37" i="4"/>
  <c r="D37" i="4" s="1"/>
  <c r="B39" i="4" l="1"/>
  <c r="C38" i="4"/>
  <c r="D38" i="4" s="1"/>
  <c r="B40" i="4" l="1"/>
  <c r="C39" i="4"/>
  <c r="D39" i="4" s="1"/>
  <c r="B41" i="4" l="1"/>
  <c r="C40" i="4"/>
  <c r="D40" i="4" s="1"/>
  <c r="B42" i="4" l="1"/>
  <c r="C41" i="4"/>
  <c r="D41" i="4" s="1"/>
  <c r="B43" i="4" l="1"/>
  <c r="C42" i="4"/>
  <c r="D42" i="4" s="1"/>
  <c r="B44" i="4" l="1"/>
  <c r="C43" i="4"/>
  <c r="D43" i="4" s="1"/>
  <c r="B45" i="4" l="1"/>
  <c r="C44" i="4"/>
  <c r="D44" i="4" s="1"/>
  <c r="B46" i="4" l="1"/>
  <c r="C45" i="4"/>
  <c r="D45" i="4" s="1"/>
  <c r="B47" i="4" l="1"/>
  <c r="C46" i="4"/>
  <c r="D46" i="4" s="1"/>
  <c r="B48" i="4" l="1"/>
  <c r="C47" i="4"/>
  <c r="D47" i="4" s="1"/>
  <c r="B49" i="4" l="1"/>
  <c r="C48" i="4"/>
  <c r="D48" i="4" s="1"/>
  <c r="B50" i="4" l="1"/>
  <c r="C49" i="4"/>
  <c r="D49" i="4" s="1"/>
  <c r="B51" i="4" l="1"/>
  <c r="C50" i="4"/>
  <c r="D50" i="4" s="1"/>
  <c r="B52" i="4" l="1"/>
  <c r="C51" i="4"/>
  <c r="D51" i="4" s="1"/>
  <c r="B53" i="4" l="1"/>
  <c r="C52" i="4"/>
  <c r="D52" i="4" s="1"/>
  <c r="B54" i="4" l="1"/>
  <c r="C53" i="4"/>
  <c r="D53" i="4" s="1"/>
  <c r="B55" i="4" l="1"/>
  <c r="C54" i="4"/>
  <c r="D54" i="4" s="1"/>
  <c r="B56" i="4" l="1"/>
  <c r="C55" i="4"/>
  <c r="D55" i="4" s="1"/>
  <c r="B57" i="4" l="1"/>
  <c r="C56" i="4"/>
  <c r="D56" i="4" s="1"/>
  <c r="B58" i="4" l="1"/>
  <c r="C57" i="4"/>
  <c r="D57" i="4" s="1"/>
  <c r="B59" i="4" l="1"/>
  <c r="C58" i="4"/>
  <c r="D58" i="4" s="1"/>
  <c r="B60" i="4" l="1"/>
  <c r="C59" i="4"/>
  <c r="D59" i="4" s="1"/>
  <c r="B61" i="4" l="1"/>
  <c r="C60" i="4"/>
  <c r="D60" i="4" s="1"/>
  <c r="B62" i="4" l="1"/>
  <c r="C61" i="4"/>
  <c r="D61" i="4" s="1"/>
  <c r="B63" i="4" l="1"/>
  <c r="C62" i="4"/>
  <c r="D62" i="4" s="1"/>
  <c r="B64" i="4" l="1"/>
  <c r="C63" i="4"/>
  <c r="D63" i="4" s="1"/>
  <c r="B65" i="4" l="1"/>
  <c r="C64" i="4"/>
  <c r="D64" i="4" s="1"/>
  <c r="B66" i="4" l="1"/>
  <c r="C65" i="4"/>
  <c r="D65" i="4" s="1"/>
  <c r="B67" i="4" l="1"/>
  <c r="C66" i="4"/>
  <c r="D66" i="4" s="1"/>
  <c r="B68" i="4" l="1"/>
  <c r="C67" i="4"/>
  <c r="D67" i="4" s="1"/>
  <c r="B69" i="4" l="1"/>
  <c r="C68" i="4"/>
  <c r="D68" i="4" s="1"/>
  <c r="B70" i="4" l="1"/>
  <c r="C69" i="4"/>
  <c r="D69" i="4" s="1"/>
  <c r="B71" i="4" l="1"/>
  <c r="C70" i="4"/>
  <c r="D70" i="4" s="1"/>
  <c r="B72" i="4" l="1"/>
  <c r="C71" i="4"/>
  <c r="D71" i="4" s="1"/>
  <c r="B73" i="4" l="1"/>
  <c r="C72" i="4"/>
  <c r="D72" i="4" s="1"/>
  <c r="B74" i="4" l="1"/>
  <c r="C73" i="4"/>
  <c r="D73" i="4" s="1"/>
  <c r="B75" i="4" l="1"/>
  <c r="C74" i="4"/>
  <c r="D74" i="4" s="1"/>
  <c r="B76" i="4" l="1"/>
  <c r="C75" i="4"/>
  <c r="D75" i="4" s="1"/>
  <c r="B77" i="4" l="1"/>
  <c r="C76" i="4"/>
  <c r="D76" i="4" s="1"/>
  <c r="B78" i="4" l="1"/>
  <c r="C77" i="4"/>
  <c r="D77" i="4" s="1"/>
  <c r="B79" i="4" l="1"/>
  <c r="C78" i="4"/>
  <c r="D78" i="4" s="1"/>
  <c r="B80" i="4" l="1"/>
  <c r="C79" i="4"/>
  <c r="D79" i="4" s="1"/>
  <c r="B81" i="4" l="1"/>
  <c r="C80" i="4"/>
  <c r="D80" i="4" s="1"/>
  <c r="B82" i="4" l="1"/>
  <c r="C81" i="4"/>
  <c r="D81" i="4" s="1"/>
  <c r="B83" i="4" l="1"/>
  <c r="C82" i="4"/>
  <c r="D82" i="4" s="1"/>
  <c r="B84" i="4" l="1"/>
  <c r="C83" i="4"/>
  <c r="D83" i="4" s="1"/>
  <c r="B85" i="4" l="1"/>
  <c r="C84" i="4"/>
  <c r="D84" i="4" s="1"/>
  <c r="B86" i="4" l="1"/>
  <c r="C85" i="4"/>
  <c r="D85" i="4" s="1"/>
  <c r="B87" i="4" l="1"/>
  <c r="C86" i="4"/>
  <c r="D86" i="4" s="1"/>
  <c r="B88" i="4" l="1"/>
  <c r="C87" i="4"/>
  <c r="D87" i="4" s="1"/>
  <c r="B89" i="4" l="1"/>
  <c r="C88" i="4"/>
  <c r="D88" i="4" s="1"/>
  <c r="B90" i="4" l="1"/>
  <c r="C89" i="4"/>
  <c r="D89" i="4" s="1"/>
  <c r="B91" i="4" l="1"/>
  <c r="C90" i="4"/>
  <c r="D90" i="4" s="1"/>
  <c r="B92" i="4" l="1"/>
  <c r="C91" i="4"/>
  <c r="D91" i="4" s="1"/>
  <c r="B93" i="4" l="1"/>
  <c r="C92" i="4"/>
  <c r="D92" i="4" s="1"/>
  <c r="B94" i="4" l="1"/>
  <c r="C93" i="4"/>
  <c r="D93" i="4" s="1"/>
  <c r="B95" i="4" l="1"/>
  <c r="C94" i="4"/>
  <c r="D94" i="4" s="1"/>
  <c r="B96" i="4" l="1"/>
  <c r="C95" i="4"/>
  <c r="D95" i="4" s="1"/>
  <c r="B97" i="4" l="1"/>
  <c r="C96" i="4"/>
  <c r="D96" i="4" s="1"/>
  <c r="B98" i="4" l="1"/>
  <c r="C97" i="4"/>
  <c r="D97" i="4" s="1"/>
  <c r="B99" i="4" l="1"/>
  <c r="C98" i="4"/>
  <c r="D98" i="4" s="1"/>
  <c r="B100" i="4" l="1"/>
  <c r="C99" i="4"/>
  <c r="D99" i="4" s="1"/>
  <c r="B101" i="4" l="1"/>
  <c r="C100" i="4"/>
  <c r="D100" i="4" s="1"/>
  <c r="B102" i="4" l="1"/>
  <c r="C101" i="4"/>
  <c r="D101" i="4" s="1"/>
  <c r="B103" i="4" l="1"/>
  <c r="C102" i="4"/>
  <c r="D102" i="4" s="1"/>
  <c r="B104" i="4" l="1"/>
  <c r="C103" i="4"/>
  <c r="D103" i="4" s="1"/>
  <c r="B105" i="4" l="1"/>
  <c r="C104" i="4"/>
  <c r="D104" i="4" s="1"/>
  <c r="B106" i="4" l="1"/>
  <c r="C105" i="4"/>
  <c r="D105" i="4" s="1"/>
  <c r="B107" i="4" l="1"/>
  <c r="C106" i="4"/>
  <c r="D106" i="4" s="1"/>
  <c r="B108" i="4" l="1"/>
  <c r="C107" i="4"/>
  <c r="D107" i="4" s="1"/>
  <c r="B109" i="4" l="1"/>
  <c r="C108" i="4"/>
  <c r="D108" i="4" s="1"/>
  <c r="B110" i="4" l="1"/>
  <c r="C109" i="4"/>
  <c r="D109" i="4" s="1"/>
  <c r="B111" i="4" l="1"/>
  <c r="C110" i="4"/>
  <c r="D110" i="4" s="1"/>
  <c r="B112" i="4" l="1"/>
  <c r="C111" i="4"/>
  <c r="D111" i="4" s="1"/>
  <c r="B113" i="4" l="1"/>
  <c r="C112" i="4"/>
  <c r="D112" i="4" s="1"/>
  <c r="B114" i="4" l="1"/>
  <c r="C113" i="4"/>
  <c r="D113" i="4" s="1"/>
  <c r="B115" i="4" l="1"/>
  <c r="C114" i="4"/>
  <c r="D114" i="4" s="1"/>
  <c r="B116" i="4" l="1"/>
  <c r="C115" i="4"/>
  <c r="D115" i="4" s="1"/>
  <c r="B117" i="4" l="1"/>
  <c r="C116" i="4"/>
  <c r="D116" i="4" s="1"/>
  <c r="B118" i="4" l="1"/>
  <c r="C117" i="4"/>
  <c r="D117" i="4" s="1"/>
  <c r="B119" i="4" l="1"/>
  <c r="C118" i="4"/>
  <c r="D118" i="4" s="1"/>
  <c r="B120" i="4" l="1"/>
  <c r="C119" i="4"/>
  <c r="D119" i="4" s="1"/>
  <c r="B121" i="4" l="1"/>
  <c r="C120" i="4"/>
  <c r="D120" i="4" s="1"/>
  <c r="B122" i="4" l="1"/>
  <c r="C121" i="4"/>
  <c r="D121" i="4" s="1"/>
  <c r="B123" i="4" l="1"/>
  <c r="C122" i="4"/>
  <c r="D122" i="4" s="1"/>
  <c r="B124" i="4" l="1"/>
  <c r="C123" i="4"/>
  <c r="D123" i="4" s="1"/>
  <c r="B125" i="4" l="1"/>
  <c r="C124" i="4"/>
  <c r="D124" i="4" s="1"/>
  <c r="B126" i="4" l="1"/>
  <c r="C125" i="4"/>
  <c r="D125" i="4" s="1"/>
  <c r="B127" i="4" l="1"/>
  <c r="C126" i="4"/>
  <c r="D126" i="4" s="1"/>
  <c r="B128" i="4" l="1"/>
  <c r="C127" i="4"/>
  <c r="D127" i="4" s="1"/>
  <c r="B129" i="4" l="1"/>
  <c r="C128" i="4"/>
  <c r="D128" i="4" s="1"/>
  <c r="B130" i="4" l="1"/>
  <c r="C129" i="4"/>
  <c r="D129" i="4" s="1"/>
  <c r="B131" i="4" l="1"/>
  <c r="C130" i="4"/>
  <c r="D130" i="4" s="1"/>
  <c r="B132" i="4" l="1"/>
  <c r="C131" i="4"/>
  <c r="D131" i="4" s="1"/>
  <c r="B133" i="4" l="1"/>
  <c r="C132" i="4"/>
  <c r="D132" i="4" s="1"/>
  <c r="B134" i="4" l="1"/>
  <c r="C133" i="4"/>
  <c r="D133" i="4" s="1"/>
  <c r="B135" i="4" l="1"/>
  <c r="C134" i="4"/>
  <c r="D134" i="4" s="1"/>
  <c r="B136" i="4" l="1"/>
  <c r="C135" i="4"/>
  <c r="D135" i="4" s="1"/>
  <c r="B137" i="4" l="1"/>
  <c r="C136" i="4"/>
  <c r="D136" i="4" s="1"/>
  <c r="B138" i="4" l="1"/>
  <c r="C137" i="4"/>
  <c r="D137" i="4" s="1"/>
  <c r="B139" i="4" l="1"/>
  <c r="C138" i="4"/>
  <c r="D138" i="4" s="1"/>
  <c r="B140" i="4" l="1"/>
  <c r="C139" i="4"/>
  <c r="D139" i="4" s="1"/>
  <c r="B141" i="4" l="1"/>
  <c r="C140" i="4"/>
  <c r="D140" i="4" s="1"/>
  <c r="B142" i="4" l="1"/>
  <c r="C141" i="4"/>
  <c r="D141" i="4" s="1"/>
  <c r="B143" i="4" l="1"/>
  <c r="C142" i="4"/>
  <c r="D142" i="4" s="1"/>
  <c r="B144" i="4" l="1"/>
  <c r="C143" i="4"/>
  <c r="D143" i="4" s="1"/>
  <c r="B145" i="4" l="1"/>
  <c r="C144" i="4"/>
  <c r="D144" i="4" s="1"/>
  <c r="B146" i="4" l="1"/>
  <c r="C145" i="4"/>
  <c r="D145" i="4" s="1"/>
  <c r="B147" i="4" l="1"/>
  <c r="C146" i="4"/>
  <c r="D146" i="4" s="1"/>
  <c r="B148" i="4" l="1"/>
  <c r="C147" i="4"/>
  <c r="D147" i="4" s="1"/>
  <c r="B149" i="4" l="1"/>
  <c r="C148" i="4"/>
  <c r="D148" i="4" s="1"/>
  <c r="B150" i="4" l="1"/>
  <c r="C149" i="4"/>
  <c r="D149" i="4" s="1"/>
  <c r="B151" i="4" l="1"/>
  <c r="C150" i="4"/>
  <c r="D150" i="4" s="1"/>
  <c r="B152" i="4" l="1"/>
  <c r="C151" i="4"/>
  <c r="D151" i="4" s="1"/>
  <c r="B153" i="4" l="1"/>
  <c r="C152" i="4"/>
  <c r="D152" i="4" s="1"/>
  <c r="B154" i="4" l="1"/>
  <c r="C153" i="4"/>
  <c r="D153" i="4" s="1"/>
  <c r="B155" i="4" l="1"/>
  <c r="C154" i="4"/>
  <c r="D154" i="4" s="1"/>
  <c r="B156" i="4" l="1"/>
  <c r="C155" i="4"/>
  <c r="D155" i="4" s="1"/>
  <c r="B157" i="4" l="1"/>
  <c r="C156" i="4"/>
  <c r="D156" i="4" s="1"/>
  <c r="B158" i="4" l="1"/>
  <c r="C157" i="4"/>
  <c r="D157" i="4" s="1"/>
  <c r="B159" i="4" l="1"/>
  <c r="C158" i="4"/>
  <c r="D158" i="4" s="1"/>
  <c r="B160" i="4" l="1"/>
  <c r="C159" i="4"/>
  <c r="D159" i="4" s="1"/>
  <c r="B161" i="4" l="1"/>
  <c r="C160" i="4"/>
  <c r="D160" i="4" s="1"/>
  <c r="B162" i="4" l="1"/>
  <c r="C161" i="4"/>
  <c r="D161" i="4" s="1"/>
  <c r="B163" i="4" l="1"/>
  <c r="C162" i="4"/>
  <c r="D162" i="4" s="1"/>
  <c r="B164" i="4" l="1"/>
  <c r="C163" i="4"/>
  <c r="D163" i="4" s="1"/>
  <c r="B165" i="4" l="1"/>
  <c r="C164" i="4"/>
  <c r="D164" i="4" s="1"/>
  <c r="B166" i="4" l="1"/>
  <c r="C165" i="4"/>
  <c r="D165" i="4" s="1"/>
  <c r="B167" i="4" l="1"/>
  <c r="C166" i="4"/>
  <c r="D166" i="4" s="1"/>
  <c r="B168" i="4" l="1"/>
  <c r="C167" i="4"/>
  <c r="D167" i="4" s="1"/>
  <c r="B169" i="4" l="1"/>
  <c r="C168" i="4"/>
  <c r="D168" i="4" s="1"/>
  <c r="B170" i="4" l="1"/>
  <c r="C169" i="4"/>
  <c r="D169" i="4" s="1"/>
  <c r="B171" i="4" l="1"/>
  <c r="C170" i="4"/>
  <c r="D170" i="4" s="1"/>
  <c r="B172" i="4" l="1"/>
  <c r="C171" i="4"/>
  <c r="D171" i="4" s="1"/>
  <c r="B173" i="4" l="1"/>
  <c r="C172" i="4"/>
  <c r="D172" i="4" s="1"/>
  <c r="B174" i="4" l="1"/>
  <c r="C173" i="4"/>
  <c r="D173" i="4" s="1"/>
  <c r="B175" i="4" l="1"/>
  <c r="C174" i="4"/>
  <c r="D174" i="4" s="1"/>
  <c r="B176" i="4" l="1"/>
  <c r="C175" i="4"/>
  <c r="D175" i="4" s="1"/>
  <c r="B177" i="4" l="1"/>
  <c r="C176" i="4"/>
  <c r="D176" i="4" s="1"/>
  <c r="B178" i="4" l="1"/>
  <c r="C177" i="4"/>
  <c r="D177" i="4" s="1"/>
  <c r="B179" i="4" l="1"/>
  <c r="C178" i="4"/>
  <c r="D178" i="4" s="1"/>
  <c r="B180" i="4" l="1"/>
  <c r="C179" i="4"/>
  <c r="D179" i="4" s="1"/>
  <c r="B181" i="4" l="1"/>
  <c r="C180" i="4"/>
  <c r="D180" i="4" s="1"/>
  <c r="B182" i="4" l="1"/>
  <c r="C181" i="4"/>
  <c r="D181" i="4" s="1"/>
  <c r="B183" i="4" l="1"/>
  <c r="C182" i="4"/>
  <c r="D182" i="4" s="1"/>
  <c r="B184" i="4" l="1"/>
  <c r="C183" i="4"/>
  <c r="D183" i="4" s="1"/>
  <c r="B185" i="4" l="1"/>
  <c r="C184" i="4"/>
  <c r="D184" i="4" s="1"/>
  <c r="B186" i="4" l="1"/>
  <c r="C185" i="4"/>
  <c r="D185" i="4" s="1"/>
  <c r="B187" i="4" l="1"/>
  <c r="C186" i="4"/>
  <c r="D186" i="4" s="1"/>
  <c r="B188" i="4" l="1"/>
  <c r="C187" i="4"/>
  <c r="D187" i="4" s="1"/>
  <c r="B189" i="4" l="1"/>
  <c r="C188" i="4"/>
  <c r="D188" i="4" s="1"/>
  <c r="B190" i="4" l="1"/>
  <c r="C189" i="4"/>
  <c r="D189" i="4" s="1"/>
  <c r="B191" i="4" l="1"/>
  <c r="C190" i="4"/>
  <c r="D190" i="4" s="1"/>
  <c r="B192" i="4" l="1"/>
  <c r="C191" i="4"/>
  <c r="D191" i="4" s="1"/>
  <c r="B193" i="4" l="1"/>
  <c r="C192" i="4"/>
  <c r="D192" i="4" s="1"/>
  <c r="B194" i="4" l="1"/>
  <c r="C193" i="4"/>
  <c r="D193" i="4" s="1"/>
  <c r="B195" i="4" l="1"/>
  <c r="C194" i="4"/>
  <c r="D194" i="4" s="1"/>
  <c r="B196" i="4" l="1"/>
  <c r="C195" i="4"/>
  <c r="D195" i="4" s="1"/>
  <c r="B197" i="4" l="1"/>
  <c r="C196" i="4"/>
  <c r="D196" i="4" s="1"/>
  <c r="B198" i="4" l="1"/>
  <c r="C197" i="4"/>
  <c r="D197" i="4" s="1"/>
  <c r="B199" i="4" l="1"/>
  <c r="C198" i="4"/>
  <c r="D198" i="4" s="1"/>
  <c r="B200" i="4" l="1"/>
  <c r="C199" i="4"/>
  <c r="D199" i="4" s="1"/>
  <c r="B201" i="4" l="1"/>
  <c r="C200" i="4"/>
  <c r="D200" i="4" s="1"/>
  <c r="B202" i="4" l="1"/>
  <c r="C201" i="4"/>
  <c r="D201" i="4" s="1"/>
  <c r="B203" i="4" l="1"/>
  <c r="C202" i="4"/>
  <c r="D202" i="4" s="1"/>
  <c r="B204" i="4" l="1"/>
  <c r="C203" i="4"/>
  <c r="D203" i="4" s="1"/>
  <c r="B205" i="4" l="1"/>
  <c r="C205" i="4" s="1"/>
  <c r="D205" i="4" s="1"/>
  <c r="C204" i="4"/>
  <c r="D204" i="4" s="1"/>
</calcChain>
</file>

<file path=xl/sharedStrings.xml><?xml version="1.0" encoding="utf-8"?>
<sst xmlns="http://schemas.openxmlformats.org/spreadsheetml/2006/main" count="1019" uniqueCount="308">
  <si>
    <t>Trung tâm Phát triển Sức khoẻ Bền vững</t>
  </si>
  <si>
    <t>VietHealth</t>
  </si>
  <si>
    <t>STT</t>
  </si>
  <si>
    <t>Tên thiết bị</t>
  </si>
  <si>
    <t>Mã số thiết bị</t>
  </si>
  <si>
    <t>Loại trang thiết bị</t>
  </si>
  <si>
    <t>Nơi sử dụng</t>
  </si>
  <si>
    <t>Nhãn hiệu</t>
  </si>
  <si>
    <t>Số Seri</t>
  </si>
  <si>
    <t>Nguồn mua sắm</t>
  </si>
  <si>
    <t>Ngày mua/ bàn giao</t>
  </si>
  <si>
    <t>Số lượng</t>
  </si>
  <si>
    <t>Đơn vị tính</t>
  </si>
  <si>
    <t>Giá trị (VND)</t>
  </si>
  <si>
    <t>Ghi chú</t>
  </si>
  <si>
    <t>I</t>
  </si>
  <si>
    <t>Máy móc thiết bị</t>
  </si>
  <si>
    <t>Thiết bị VP</t>
  </si>
  <si>
    <t>VPBP</t>
  </si>
  <si>
    <t>chiếc</t>
  </si>
  <si>
    <t>II</t>
  </si>
  <si>
    <t xml:space="preserve">Người lập                                                                                                     </t>
  </si>
  <si>
    <t>(Ký, họ tên)</t>
  </si>
  <si>
    <t>USAID</t>
  </si>
  <si>
    <t>Vũ Đình Tân</t>
  </si>
  <si>
    <t>Tình trạng</t>
  </si>
  <si>
    <t>Bình thường</t>
  </si>
  <si>
    <t>Văn phòng VietHealth tỉnh Bình Phước</t>
  </si>
  <si>
    <t>Trần Ngọc Thảo</t>
  </si>
  <si>
    <t>Thành viên kiểm kê</t>
  </si>
  <si>
    <t>Lenovo</t>
  </si>
  <si>
    <t>HP</t>
  </si>
  <si>
    <t>Dell</t>
  </si>
  <si>
    <t>Trưởng Ban kiểm kê</t>
  </si>
  <si>
    <t>* Kiến nghị: Không.</t>
  </si>
  <si>
    <t>CÁCH ĐỌC MÃ SỐ THIẾT BỊ                                                                                                                                                                                                               Cú pháp: Tỉnh-Loại TB-Bộ phân/nguồn DA-STT (01, 02, 03,...)</t>
  </si>
  <si>
    <t>Tên, loại thiết bị</t>
  </si>
  <si>
    <t>Mã tên</t>
  </si>
  <si>
    <t>Bộ phân</t>
  </si>
  <si>
    <t>Mã bộ phận</t>
  </si>
  <si>
    <t>Văn phòng Tây Ninh</t>
  </si>
  <si>
    <t>VPTN</t>
  </si>
  <si>
    <t>Thiết bị văn phòng</t>
  </si>
  <si>
    <t>Văn phòng Bình Phước</t>
  </si>
  <si>
    <t>Desktop</t>
  </si>
  <si>
    <t>MTĐB</t>
  </si>
  <si>
    <t>Văn phòng Đồng Nai</t>
  </si>
  <si>
    <t>VPDN</t>
  </si>
  <si>
    <t>Laptop</t>
  </si>
  <si>
    <t>MTXT</t>
  </si>
  <si>
    <t xml:space="preserve">Máy in </t>
  </si>
  <si>
    <t>MAYIN</t>
  </si>
  <si>
    <t>Tỉnh dự án</t>
  </si>
  <si>
    <t>Mã tỉnh</t>
  </si>
  <si>
    <t>Điện thoại bàn</t>
  </si>
  <si>
    <t>ĐTB</t>
  </si>
  <si>
    <t>Tây Ninh</t>
  </si>
  <si>
    <t>TN</t>
  </si>
  <si>
    <t>Máy Scan</t>
  </si>
  <si>
    <t>SCAN</t>
  </si>
  <si>
    <t>Đồng Nai</t>
  </si>
  <si>
    <t>DN</t>
  </si>
  <si>
    <t>Quạt điều hoà</t>
  </si>
  <si>
    <t>QĐH</t>
  </si>
  <si>
    <t>Bình Phước</t>
  </si>
  <si>
    <t>BP</t>
  </si>
  <si>
    <t>Máy lạnh</t>
  </si>
  <si>
    <t>ML</t>
  </si>
  <si>
    <t>Ổ cứng di động</t>
  </si>
  <si>
    <t>HDD</t>
  </si>
  <si>
    <t>Nguồn Dự án</t>
  </si>
  <si>
    <t>Thiết bị phát wifi</t>
  </si>
  <si>
    <t>WIFI</t>
  </si>
  <si>
    <t>Máy chiếu</t>
  </si>
  <si>
    <t>MC</t>
  </si>
  <si>
    <t>Màn hình PC</t>
  </si>
  <si>
    <t>MHMT</t>
  </si>
  <si>
    <t>Xe máy Honda</t>
  </si>
  <si>
    <t>XEMAY</t>
  </si>
  <si>
    <t>Nguồn ngân sách</t>
  </si>
  <si>
    <t>Mã DA</t>
  </si>
  <si>
    <t>DISTINCT</t>
  </si>
  <si>
    <t>DA24</t>
  </si>
  <si>
    <t>INCLUSION 3</t>
  </si>
  <si>
    <t>BẢNG KIỂM KÊ DÁN NHÃN TRANG THIẾT BỊ VĂN PHÒNG</t>
  </si>
  <si>
    <t>Tem kiểm kê</t>
  </si>
  <si>
    <t>Sticker</t>
  </si>
  <si>
    <t>TENSP</t>
  </si>
  <si>
    <t>MASP</t>
  </si>
  <si>
    <t>NGAYKK</t>
  </si>
  <si>
    <t>THANGKK</t>
  </si>
  <si>
    <t>NAMKK</t>
  </si>
  <si>
    <t>DIADIEM</t>
  </si>
  <si>
    <t>Người lập bảng</t>
  </si>
  <si>
    <t>Phụ trách bộ phận</t>
  </si>
  <si>
    <t>DA45</t>
  </si>
  <si>
    <t>Ngày  31  tháng  12  năm  2024</t>
  </si>
  <si>
    <t>Văn phòng VietHealth Trung tâm</t>
  </si>
  <si>
    <t>Tô Thị Hải Lý</t>
  </si>
  <si>
    <t>Đặng Thị Thơm</t>
  </si>
  <si>
    <t>VPHN</t>
  </si>
  <si>
    <t>Desktop Dell Optiplex core i7</t>
  </si>
  <si>
    <t>Desktop Server HP</t>
  </si>
  <si>
    <t>Laptop Dell Latitude 3410</t>
  </si>
  <si>
    <t>Laptop Dell XPS</t>
  </si>
  <si>
    <t>Laptop Lenovo S145</t>
  </si>
  <si>
    <t>Màn hình AOC</t>
  </si>
  <si>
    <t>Desktop HP ProDesk 400 G7 MT</t>
  </si>
  <si>
    <t>Điện thoại Panasonic KX-TGC210CXS nối dài</t>
  </si>
  <si>
    <t>Máy ảnh Canon 6D</t>
  </si>
  <si>
    <t>Ống kính Canon 35F1.4</t>
  </si>
  <si>
    <t>Máy in Canon 3300</t>
  </si>
  <si>
    <t>Máy in Cannon F151300</t>
  </si>
  <si>
    <t>Máy in Laser màu Brother MFC-L3750CDW</t>
  </si>
  <si>
    <t>LCD Dell 18.5"</t>
  </si>
  <si>
    <t>Ổ cứng lắp trong Western Digital Caviar 4TB 3.5"</t>
  </si>
  <si>
    <t>Ổ cứng lắp trong SSD Western Green 240Gb</t>
  </si>
  <si>
    <t>Modem Wifi Huawei HG8245</t>
  </si>
  <si>
    <t>Bộ chia wifi CISCO</t>
  </si>
  <si>
    <t>Bộ chia wifi Linksys EA6350</t>
  </si>
  <si>
    <t>Bộ chia wifi 6 Asus RT-AX55U AX1800Mbps</t>
  </si>
  <si>
    <t>Máy chấm công</t>
  </si>
  <si>
    <t>Máy sưởi dầu</t>
  </si>
  <si>
    <t xml:space="preserve">Router wifi DrayTek Virgo 2926 </t>
  </si>
  <si>
    <t>TV</t>
  </si>
  <si>
    <t>Webcam</t>
  </si>
  <si>
    <t>Ổ cứng di động WD 1TB</t>
  </si>
  <si>
    <t>Máy trạm DELL PowerEdge T340 Intel Xeon E-2234</t>
  </si>
  <si>
    <t>Máy in Cannon LBP6030W</t>
  </si>
  <si>
    <t>USB WIFI AC1300 TP-LINK T3U PLUS</t>
  </si>
  <si>
    <t>Bộ lưu điện máy chủ APC Smart-UPS
1500VA LCD</t>
  </si>
  <si>
    <t>Desktop HP Pavilion 590-P0058D</t>
  </si>
  <si>
    <t>Asus</t>
  </si>
  <si>
    <t>Sony</t>
  </si>
  <si>
    <t>bộ</t>
  </si>
  <si>
    <t>Laptop HP  Pavilion 15-eg0069TU</t>
  </si>
  <si>
    <t>Chuyển VPBP</t>
  </si>
  <si>
    <t>Laptop HP Probook 430 G8 I7-1165G7</t>
  </si>
  <si>
    <t>Bàn giao cho Mr. Tân</t>
  </si>
  <si>
    <t>TP-link</t>
  </si>
  <si>
    <t>APC</t>
  </si>
  <si>
    <t>Canon</t>
  </si>
  <si>
    <t>Western</t>
  </si>
  <si>
    <t>Samsung</t>
  </si>
  <si>
    <t>Draytek</t>
  </si>
  <si>
    <t>Linksys</t>
  </si>
  <si>
    <t>Cisco</t>
  </si>
  <si>
    <t>Huawei</t>
  </si>
  <si>
    <t>Konica</t>
  </si>
  <si>
    <t>Brother</t>
  </si>
  <si>
    <t>Panasonic</t>
  </si>
  <si>
    <t>AOC</t>
  </si>
  <si>
    <t>Xe ô tô Ford Territory</t>
  </si>
  <si>
    <t>DA45-OTO-01</t>
  </si>
  <si>
    <t>Phương tiện</t>
  </si>
  <si>
    <t>Ford</t>
  </si>
  <si>
    <t>Bộ lưu điện UPS</t>
  </si>
  <si>
    <t>Ms. Linh</t>
  </si>
  <si>
    <t>Ms. Phương Anh</t>
  </si>
  <si>
    <t>Ms. Nhung</t>
  </si>
  <si>
    <t>Mr. Kiên</t>
  </si>
  <si>
    <t>Ms. Lý</t>
  </si>
  <si>
    <t>Mr. Dương</t>
  </si>
  <si>
    <t>Ms. Châu</t>
  </si>
  <si>
    <t>Ms. Thơm</t>
  </si>
  <si>
    <t>Tivi Sony KD-65X7500H VN3</t>
  </si>
  <si>
    <t>Máy photocopy Konica Minolta 300i</t>
  </si>
  <si>
    <t>III</t>
  </si>
  <si>
    <t>Phần mềm (tài sản vô hình)</t>
  </si>
  <si>
    <t>Phần mềm kế toán ANA</t>
  </si>
  <si>
    <t>Phần mềm</t>
  </si>
  <si>
    <t>ANA</t>
  </si>
  <si>
    <t>Felm</t>
  </si>
  <si>
    <t>Máy chiếu Panasonic PT-LB60NTEA</t>
  </si>
  <si>
    <t>Máy chiếu Epson EB2142W</t>
  </si>
  <si>
    <t>Epson</t>
  </si>
  <si>
    <t>Laptop Dell Latitude 3420</t>
  </si>
  <si>
    <t>Laptop HP Probook 430 G8 I5-135G7</t>
  </si>
  <si>
    <t>VP</t>
  </si>
  <si>
    <t>DA18</t>
  </si>
  <si>
    <t>OTO</t>
  </si>
  <si>
    <t>MAYANH</t>
  </si>
  <si>
    <t>MTP</t>
  </si>
  <si>
    <t>NGUON</t>
  </si>
  <si>
    <t>OCLT</t>
  </si>
  <si>
    <t>MS</t>
  </si>
  <si>
    <t>SSD</t>
  </si>
  <si>
    <t>SV</t>
  </si>
  <si>
    <t>USB</t>
  </si>
  <si>
    <t>Ổ cứng lắp trong</t>
  </si>
  <si>
    <t>Máy photocopy</t>
  </si>
  <si>
    <t>Máy ảnh</t>
  </si>
  <si>
    <t>Máy chủ</t>
  </si>
  <si>
    <t>Xe ô tô</t>
  </si>
  <si>
    <t>Máy tính bảng Samsung Galaxy</t>
  </si>
  <si>
    <t>Điện thoại Iphone 11</t>
  </si>
  <si>
    <t>Máy sưởi</t>
  </si>
  <si>
    <t>Ổ cứng SSD</t>
  </si>
  <si>
    <t>Modem</t>
  </si>
  <si>
    <t>MD</t>
  </si>
  <si>
    <t>Bộ lưu điện</t>
  </si>
  <si>
    <t>HDMI</t>
  </si>
  <si>
    <t>Cable chuyển HDMI</t>
  </si>
  <si>
    <t>Iphone</t>
  </si>
  <si>
    <t>IA</t>
  </si>
  <si>
    <t>Loa bluetooth</t>
  </si>
  <si>
    <t>Cục KCB</t>
  </si>
  <si>
    <t xml:space="preserve">* Kết quả kiểm kê TBVP: </t>
  </si>
  <si>
    <t>DA18-MAYIN-01</t>
  </si>
  <si>
    <t>DA24-NGUON-01</t>
  </si>
  <si>
    <t>DA24-MTĐB-01</t>
  </si>
  <si>
    <t>DA24-MTĐB-02</t>
  </si>
  <si>
    <t>DA24-MTĐB-03</t>
  </si>
  <si>
    <t>DA24-MTXT-10</t>
  </si>
  <si>
    <t>DA24-MTXT-14</t>
  </si>
  <si>
    <t>DA24-LOA-01</t>
  </si>
  <si>
    <t>DA24-MHMT-01</t>
  </si>
  <si>
    <t>DA24-MHMT-02</t>
  </si>
  <si>
    <t>DA24-MHMT-03</t>
  </si>
  <si>
    <t>DA24-MHMT-04</t>
  </si>
  <si>
    <t>DA24-MAYIN-01</t>
  </si>
  <si>
    <t>DA24-SV-01</t>
  </si>
  <si>
    <t>DA24-HDMI-01</t>
  </si>
  <si>
    <t>DA24-HDMI-02</t>
  </si>
  <si>
    <t>DA24-OCLT-01</t>
  </si>
  <si>
    <t>DA24-OCLT-02</t>
  </si>
  <si>
    <t>DA24-WIFI-01</t>
  </si>
  <si>
    <t>DA24-USB-01</t>
  </si>
  <si>
    <t>DA24-WC-01</t>
  </si>
  <si>
    <t>DA45-MTXT-01</t>
  </si>
  <si>
    <t>DA45-MTXT-02</t>
  </si>
  <si>
    <t>DA45-MTXT-03</t>
  </si>
  <si>
    <t>DA45-MTXT-04</t>
  </si>
  <si>
    <t>DA45-MTXT-05</t>
  </si>
  <si>
    <t>DA45-MTXT-06</t>
  </si>
  <si>
    <t>DA24-MTXT-17</t>
  </si>
  <si>
    <t>DA24-MTB-01</t>
  </si>
  <si>
    <t>DA24-ĐTDĐ-01</t>
  </si>
  <si>
    <t>VP-WIFI-01</t>
  </si>
  <si>
    <t>VP-WIFI-02</t>
  </si>
  <si>
    <t>VP-WIFI-03</t>
  </si>
  <si>
    <t>VP-NGUON-01</t>
  </si>
  <si>
    <t>VP-NGUON-02</t>
  </si>
  <si>
    <t>VP-NGUON-03</t>
  </si>
  <si>
    <t>VP-MTĐB-01</t>
  </si>
  <si>
    <t>VP-MTĐB-02</t>
  </si>
  <si>
    <t>VP-MTĐB-03</t>
  </si>
  <si>
    <t>VP-ĐTB-01</t>
  </si>
  <si>
    <t>VP-MTXT-01</t>
  </si>
  <si>
    <t>VP-MHMT-01</t>
  </si>
  <si>
    <t>VP-MHMT-02</t>
  </si>
  <si>
    <t>VP-MAYANH-01</t>
  </si>
  <si>
    <t>VP-MCC-01</t>
  </si>
  <si>
    <t>VP-MC-01</t>
  </si>
  <si>
    <t>VP-MC-02</t>
  </si>
  <si>
    <t>VP-MAYIN-01</t>
  </si>
  <si>
    <t>VP-MAYIN-02</t>
  </si>
  <si>
    <t>VP-MAYIN-03</t>
  </si>
  <si>
    <t>VP-MAYIN-04</t>
  </si>
  <si>
    <t>VP-PHOTO-01</t>
  </si>
  <si>
    <t>VP-MS-01</t>
  </si>
  <si>
    <t>VP-MD-01</t>
  </si>
  <si>
    <t>VP-SSD-01</t>
  </si>
  <si>
    <t>VP-SSD-02</t>
  </si>
  <si>
    <t>VP-MAYANH-02</t>
  </si>
  <si>
    <t>VP-TV-01</t>
  </si>
  <si>
    <t>Tivi</t>
  </si>
  <si>
    <t>Văn phòng Hà Nội</t>
  </si>
  <si>
    <t>VP-MTB-01</t>
  </si>
  <si>
    <t>Máy tính bảng Samsung SM-X516B, 128Gb, xám; củ sạc kèm cáp</t>
  </si>
  <si>
    <t>Phạm Thị Cẩm Châu</t>
  </si>
  <si>
    <t>354136923820819</t>
  </si>
  <si>
    <t>Nguyễn Hồng Linh</t>
  </si>
  <si>
    <t>DANH SÁCH TRANG THIẾT BỊ VĂN PHÒNG ĐẾN NGÀY 24/04/2025</t>
  </si>
  <si>
    <t>Laptop Dell Latitude 7420 I7-1125G7</t>
  </si>
  <si>
    <t>VP-MTXT-02</t>
  </si>
  <si>
    <t>VP-MTXT-03</t>
  </si>
  <si>
    <t>Bàn giao cho VPHN</t>
  </si>
  <si>
    <t>DA24-LOA-02</t>
  </si>
  <si>
    <t>Loa bluetooth Jabra Speaker 410</t>
  </si>
  <si>
    <t>LCD Dell 27"</t>
  </si>
  <si>
    <t>VP-MHMT-03</t>
  </si>
  <si>
    <t>VP-MHMT-04</t>
  </si>
  <si>
    <t>Máy lọc không khí Sharp</t>
  </si>
  <si>
    <t>VP-LKK-01</t>
  </si>
  <si>
    <t>VP-LKK-02</t>
  </si>
  <si>
    <t>Sharp</t>
  </si>
  <si>
    <t>VP-FAN-01</t>
  </si>
  <si>
    <t>Bàn họp</t>
  </si>
  <si>
    <t>Quạt đứng Midea</t>
  </si>
  <si>
    <t>Midea</t>
  </si>
  <si>
    <t>VietDecor</t>
  </si>
  <si>
    <t>VP-BLV-01</t>
  </si>
  <si>
    <t>VP-BLV-02</t>
  </si>
  <si>
    <t>VP-BLV-03</t>
  </si>
  <si>
    <t>VP-BLV-04</t>
  </si>
  <si>
    <t>VP-BLV-05</t>
  </si>
  <si>
    <t>VP-BLV-06</t>
  </si>
  <si>
    <t>VP-BLV-07</t>
  </si>
  <si>
    <t>Bàn làm việc</t>
  </si>
  <si>
    <t>Ghế làm việc</t>
  </si>
  <si>
    <t>VP-GLV-01</t>
  </si>
  <si>
    <t>VP-GLV-02</t>
  </si>
  <si>
    <t>VP-GLV-03</t>
  </si>
  <si>
    <t>VP-GLV-04</t>
  </si>
  <si>
    <t>VP-GLV-05</t>
  </si>
  <si>
    <t>VP-GLV-06</t>
  </si>
  <si>
    <t>Văn phòng VietHealth - Hà Nội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</si>
</sst>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1010000]d/m/yyyy;@"/>
    <numFmt numFmtId="165" formatCode="_(* #,##0_);_(* \(#,##0\);_(* &quot;-&quot;??_);_(@_)"/>
  </numFmts>
  <fonts count="22" x14ac:knownFonts="1">
    <font>
      <sz val="10"/>
      <name val="Arial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13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name val="Times New Roman"/>
      <family val="1"/>
    </font>
    <font>
      <b/>
      <sz val="12"/>
      <color theme="1"/>
      <name val="Times New Roman"/>
      <family val="1"/>
    </font>
    <font>
      <sz val="8"/>
      <name val="Arial"/>
      <family val="2"/>
    </font>
    <font>
      <b/>
      <sz val="16"/>
      <color theme="1"/>
      <name val="Times New Roman"/>
      <family val="1"/>
    </font>
    <font>
      <sz val="10"/>
      <name val="Times New Roman"/>
      <family val="1"/>
    </font>
    <font>
      <b/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i/>
      <sz val="11"/>
      <color theme="1"/>
      <name val="Times New Roman"/>
      <family val="1"/>
    </font>
    <font>
      <b/>
      <i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b/>
      <sz val="1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i/>
      <sz val="12"/>
      <color theme="1"/>
      <name val="Times New Roman"/>
      <family val="1"/>
    </font>
    <font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84">
    <xf numFmtId="0" fontId="0" fillId="0" borderId="0" xfId="0"/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left" vertical="top"/>
    </xf>
    <xf numFmtId="0" fontId="2" fillId="0" borderId="4" xfId="0" applyFont="1" applyBorder="1"/>
    <xf numFmtId="0" fontId="1" fillId="2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2" fillId="0" borderId="0" xfId="0" applyFont="1"/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3" fillId="0" borderId="4" xfId="0" applyFont="1" applyBorder="1" applyAlignment="1">
      <alignment horizontal="center" vertical="top"/>
    </xf>
    <xf numFmtId="0" fontId="3" fillId="0" borderId="4" xfId="0" applyFont="1" applyBorder="1" applyAlignment="1">
      <alignment horizontal="left" vertical="top"/>
    </xf>
    <xf numFmtId="0" fontId="5" fillId="0" borderId="4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3" fillId="0" borderId="4" xfId="0" applyFont="1" applyBorder="1" applyAlignment="1">
      <alignment vertical="center"/>
    </xf>
    <xf numFmtId="0" fontId="6" fillId="0" borderId="4" xfId="0" applyFont="1" applyBorder="1"/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0" fillId="0" borderId="0" xfId="0" applyFont="1"/>
    <xf numFmtId="0" fontId="13" fillId="2" borderId="0" xfId="0" applyFont="1" applyFill="1"/>
    <xf numFmtId="0" fontId="14" fillId="2" borderId="0" xfId="0" applyFont="1" applyFill="1" applyAlignment="1">
      <alignment vertical="top"/>
    </xf>
    <xf numFmtId="0" fontId="9" fillId="2" borderId="0" xfId="0" applyFont="1" applyFill="1" applyAlignment="1">
      <alignment horizontal="centerContinuous"/>
    </xf>
    <xf numFmtId="0" fontId="11" fillId="2" borderId="0" xfId="0" applyFont="1" applyFill="1" applyAlignment="1">
      <alignment horizontal="centerContinuous" vertical="top"/>
    </xf>
    <xf numFmtId="0" fontId="12" fillId="2" borderId="0" xfId="0" applyFont="1" applyFill="1" applyAlignment="1">
      <alignment horizontal="centerContinuous" vertical="top"/>
    </xf>
    <xf numFmtId="0" fontId="17" fillId="0" borderId="0" xfId="0" applyFont="1" applyAlignment="1">
      <alignment horizontal="center"/>
    </xf>
    <xf numFmtId="0" fontId="10" fillId="0" borderId="4" xfId="0" applyFont="1" applyBorder="1"/>
    <xf numFmtId="0" fontId="7" fillId="2" borderId="0" xfId="0" applyFont="1" applyFill="1" applyAlignment="1">
      <alignment horizontal="center" vertical="top"/>
    </xf>
    <xf numFmtId="0" fontId="10" fillId="0" borderId="3" xfId="0" applyFont="1" applyBorder="1"/>
    <xf numFmtId="0" fontId="10" fillId="0" borderId="1" xfId="0" applyFont="1" applyBorder="1"/>
    <xf numFmtId="0" fontId="16" fillId="0" borderId="2" xfId="0" applyFont="1" applyBorder="1"/>
    <xf numFmtId="0" fontId="16" fillId="0" borderId="4" xfId="0" applyFont="1" applyBorder="1" applyAlignment="1">
      <alignment horizontal="center"/>
    </xf>
    <xf numFmtId="0" fontId="15" fillId="3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top"/>
    </xf>
    <xf numFmtId="0" fontId="1" fillId="2" borderId="0" xfId="0" applyFont="1" applyFill="1" applyAlignment="1">
      <alignment horizontal="center" vertical="top" wrapText="1"/>
    </xf>
    <xf numFmtId="0" fontId="7" fillId="2" borderId="0" xfId="0" applyFont="1" applyFill="1" applyAlignment="1">
      <alignment horizontal="center" vertical="top" wrapText="1"/>
    </xf>
    <xf numFmtId="0" fontId="20" fillId="2" borderId="0" xfId="0" applyFont="1" applyFill="1" applyAlignment="1">
      <alignment horizontal="center" vertical="top" wrapText="1"/>
    </xf>
    <xf numFmtId="0" fontId="20" fillId="2" borderId="0" xfId="0" applyFont="1" applyFill="1" applyAlignment="1">
      <alignment horizontal="center" vertical="top"/>
    </xf>
    <xf numFmtId="0" fontId="7" fillId="2" borderId="0" xfId="0" applyFont="1" applyFill="1" applyAlignment="1">
      <alignment vertical="top" wrapText="1"/>
    </xf>
    <xf numFmtId="0" fontId="1" fillId="2" borderId="0" xfId="0" applyFont="1" applyFill="1" applyAlignment="1">
      <alignment horizontal="left" vertical="top" wrapText="1"/>
    </xf>
    <xf numFmtId="0" fontId="7" fillId="2" borderId="0" xfId="0" quotePrefix="1" applyFont="1" applyFill="1" applyAlignment="1">
      <alignment horizontal="center" vertical="top" wrapText="1"/>
    </xf>
    <xf numFmtId="0" fontId="7" fillId="2" borderId="0" xfId="0" quotePrefix="1" applyFont="1" applyFill="1" applyAlignment="1">
      <alignment horizontal="center" vertical="top"/>
    </xf>
    <xf numFmtId="0" fontId="1" fillId="0" borderId="4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0" fontId="1" fillId="0" borderId="4" xfId="0" applyFont="1" applyBorder="1" applyAlignment="1">
      <alignment vertical="top"/>
    </xf>
    <xf numFmtId="0" fontId="1" fillId="0" borderId="4" xfId="0" applyFont="1" applyBorder="1" applyAlignment="1">
      <alignment horizontal="center" vertical="top"/>
    </xf>
    <xf numFmtId="164" fontId="1" fillId="0" borderId="4" xfId="0" applyNumberFormat="1" applyFont="1" applyBorder="1" applyAlignment="1">
      <alignment horizontal="right" vertical="top"/>
    </xf>
    <xf numFmtId="15" fontId="1" fillId="0" borderId="4" xfId="0" applyNumberFormat="1" applyFont="1" applyBorder="1" applyAlignment="1">
      <alignment horizontal="left" vertical="top"/>
    </xf>
    <xf numFmtId="164" fontId="1" fillId="0" borderId="4" xfId="0" applyNumberFormat="1" applyFont="1" applyBorder="1" applyAlignment="1">
      <alignment vertical="top"/>
    </xf>
    <xf numFmtId="3" fontId="1" fillId="0" borderId="4" xfId="0" applyNumberFormat="1" applyFont="1" applyBorder="1" applyAlignment="1">
      <alignment vertical="top"/>
    </xf>
    <xf numFmtId="0" fontId="1" fillId="2" borderId="4" xfId="0" applyFont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left" vertical="top"/>
    </xf>
    <xf numFmtId="0" fontId="1" fillId="2" borderId="4" xfId="0" applyFont="1" applyFill="1" applyBorder="1" applyAlignment="1">
      <alignment vertical="top"/>
    </xf>
    <xf numFmtId="164" fontId="1" fillId="2" borderId="4" xfId="0" applyNumberFormat="1" applyFont="1" applyFill="1" applyBorder="1" applyAlignment="1">
      <alignment horizontal="right" vertical="top"/>
    </xf>
    <xf numFmtId="0" fontId="1" fillId="2" borderId="4" xfId="0" applyFont="1" applyFill="1" applyBorder="1" applyAlignment="1">
      <alignment horizontal="center" vertical="top" wrapText="1"/>
    </xf>
    <xf numFmtId="15" fontId="1" fillId="2" borderId="4" xfId="0" applyNumberFormat="1" applyFont="1" applyFill="1" applyBorder="1" applyAlignment="1">
      <alignment horizontal="left" vertical="top"/>
    </xf>
    <xf numFmtId="164" fontId="1" fillId="2" borderId="4" xfId="0" applyNumberFormat="1" applyFont="1" applyFill="1" applyBorder="1" applyAlignment="1">
      <alignment vertical="top" wrapText="1"/>
    </xf>
    <xf numFmtId="164" fontId="1" fillId="0" borderId="4" xfId="0" applyNumberFormat="1" applyFont="1" applyBorder="1" applyAlignment="1">
      <alignment vertical="top" wrapText="1"/>
    </xf>
    <xf numFmtId="164" fontId="1" fillId="0" borderId="4" xfId="0" applyNumberFormat="1" applyFont="1" applyBorder="1" applyAlignment="1">
      <alignment horizontal="right" vertical="top" wrapText="1"/>
    </xf>
    <xf numFmtId="0" fontId="1" fillId="0" borderId="4" xfId="0" quotePrefix="1" applyFont="1" applyBorder="1" applyAlignment="1">
      <alignment vertical="top"/>
    </xf>
    <xf numFmtId="0" fontId="7" fillId="0" borderId="4" xfId="0" applyFont="1" applyBorder="1" applyAlignment="1">
      <alignment vertical="top"/>
    </xf>
    <xf numFmtId="0" fontId="7" fillId="0" borderId="4" xfId="0" applyFont="1" applyBorder="1" applyAlignment="1">
      <alignment horizontal="left" vertical="top"/>
    </xf>
    <xf numFmtId="164" fontId="7" fillId="0" borderId="4" xfId="0" applyNumberFormat="1" applyFont="1" applyBorder="1" applyAlignment="1">
      <alignment vertical="top"/>
    </xf>
    <xf numFmtId="15" fontId="7" fillId="0" borderId="4" xfId="0" applyNumberFormat="1" applyFont="1" applyBorder="1" applyAlignment="1">
      <alignment horizontal="left" vertical="top"/>
    </xf>
    <xf numFmtId="3" fontId="7" fillId="0" borderId="4" xfId="0" applyNumberFormat="1" applyFont="1" applyBorder="1" applyAlignment="1">
      <alignment vertical="top"/>
    </xf>
    <xf numFmtId="165" fontId="1" fillId="0" borderId="4" xfId="1" applyNumberFormat="1" applyFont="1" applyBorder="1" applyAlignment="1">
      <alignment horizontal="center" vertical="top" wrapText="1"/>
    </xf>
    <xf numFmtId="165" fontId="1" fillId="0" borderId="4" xfId="1" applyNumberFormat="1" applyFont="1" applyBorder="1" applyAlignment="1">
      <alignment horizontal="right" vertical="top"/>
    </xf>
    <xf numFmtId="165" fontId="1" fillId="2" borderId="4" xfId="1" applyNumberFormat="1" applyFont="1" applyFill="1" applyBorder="1" applyAlignment="1">
      <alignment horizontal="right" vertical="top"/>
    </xf>
    <xf numFmtId="165" fontId="7" fillId="0" borderId="4" xfId="1" applyNumberFormat="1" applyFont="1" applyBorder="1" applyAlignment="1">
      <alignment horizontal="right" vertical="top"/>
    </xf>
    <xf numFmtId="0" fontId="18" fillId="2" borderId="0" xfId="0" applyFont="1" applyFill="1" applyAlignment="1">
      <alignment horizontal="center" vertical="top"/>
    </xf>
    <xf numFmtId="0" fontId="7" fillId="2" borderId="0" xfId="0" applyFont="1" applyFill="1" applyAlignment="1">
      <alignment horizontal="center" vertical="top" wrapText="1"/>
    </xf>
    <xf numFmtId="0" fontId="20" fillId="2" borderId="0" xfId="0" applyFont="1" applyFill="1" applyAlignment="1">
      <alignment horizontal="center" vertical="top" wrapText="1"/>
    </xf>
    <xf numFmtId="0" fontId="19" fillId="2" borderId="0" xfId="0" applyFont="1" applyFill="1" applyAlignment="1">
      <alignment horizontal="center" vertical="top"/>
    </xf>
    <xf numFmtId="0" fontId="4" fillId="2" borderId="0" xfId="0" applyFont="1" applyFill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0" fontId="3" fillId="0" borderId="4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30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00B05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409575</xdr:colOff>
      <xdr:row>1</xdr:row>
      <xdr:rowOff>19050</xdr:rowOff>
    </xdr:from>
    <xdr:to>
      <xdr:col>13</xdr:col>
      <xdr:colOff>1885950</xdr:colOff>
      <xdr:row>4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3EBD0CE-0A64-4456-8504-DBAE1FCCD943}"/>
            </a:ext>
          </a:extLst>
        </xdr:cNvPr>
        <xdr:cNvSpPr txBox="1"/>
      </xdr:nvSpPr>
      <xdr:spPr>
        <a:xfrm>
          <a:off x="11435715" y="217170"/>
          <a:ext cx="3907155" cy="6591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vi-VN" sz="1050">
              <a:latin typeface="+mj-lt"/>
            </a:rPr>
            <a:t>Mẫu số: C53-HD</a:t>
          </a:r>
        </a:p>
        <a:p>
          <a:pPr algn="ctr"/>
          <a:r>
            <a:rPr lang="vi-VN" sz="1050">
              <a:latin typeface="+mj-lt"/>
            </a:rPr>
            <a:t>Ban hành theo QĐ số 19/2006/QĐ-BTC ngày 30/3/2006</a:t>
          </a:r>
          <a:r>
            <a:rPr lang="en-US" sz="1050">
              <a:latin typeface="+mj-lt"/>
            </a:rPr>
            <a:t> </a:t>
          </a:r>
          <a:r>
            <a:rPr lang="vi-VN" sz="1050">
              <a:latin typeface="+mj-lt"/>
            </a:rPr>
            <a:t>của </a:t>
          </a:r>
        </a:p>
        <a:p>
          <a:pPr algn="ctr"/>
          <a:r>
            <a:rPr lang="vi-VN" sz="1050">
              <a:latin typeface="+mj-lt"/>
            </a:rPr>
            <a:t>Bộ trưởng Bộ Tài chính</a:t>
          </a:r>
        </a:p>
        <a:p>
          <a:pPr algn="ctr"/>
          <a:r>
            <a:rPr lang="vi-VN" sz="1050">
              <a:latin typeface="+mj-lt"/>
            </a:rPr>
            <a:t>Số : ………………………..</a:t>
          </a:r>
          <a:endParaRPr lang="en-US" sz="1050"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C70D7-0C0D-4D71-A209-10447E000E9B}">
  <sheetPr codeName="Sheet1">
    <pageSetUpPr fitToPage="1"/>
  </sheetPr>
  <dimension ref="A1:AW106"/>
  <sheetViews>
    <sheetView showGridLines="0" tabSelected="1" zoomScaleNormal="100" workbookViewId="0">
      <pane xSplit="3" ySplit="11" topLeftCell="D12" activePane="bottomRight" state="frozen"/>
      <selection pane="topRight" activeCell="D1" sqref="D1"/>
      <selection pane="bottomLeft" activeCell="A19" sqref="A19"/>
      <selection pane="bottomRight" activeCell="P6" sqref="P6"/>
    </sheetView>
  </sheetViews>
  <sheetFormatPr defaultColWidth="9.140625" defaultRowHeight="15.75" x14ac:dyDescent="0.2"/>
  <cols>
    <col min="1" max="1" width="4.85546875" style="1" customWidth="1"/>
    <col min="2" max="2" width="46.5703125" style="4" bestFit="1" customWidth="1"/>
    <col min="3" max="3" width="23" style="1" bestFit="1" customWidth="1"/>
    <col min="4" max="4" width="13" style="1" customWidth="1"/>
    <col min="5" max="5" width="10.5703125" style="1" customWidth="1"/>
    <col min="6" max="6" width="20" style="1" customWidth="1"/>
    <col min="7" max="7" width="19" style="1" bestFit="1" customWidth="1"/>
    <col min="8" max="8" width="14.28515625" style="1" bestFit="1" customWidth="1"/>
    <col min="9" max="9" width="13.140625" style="1" customWidth="1"/>
    <col min="10" max="10" width="9.5703125" style="5" bestFit="1" customWidth="1"/>
    <col min="11" max="11" width="11.5703125" style="1" bestFit="1" customWidth="1"/>
    <col min="12" max="12" width="14.85546875" style="1" customWidth="1"/>
    <col min="13" max="13" width="21.42578125" style="1" bestFit="1" customWidth="1"/>
    <col min="14" max="14" width="20.28515625" style="1" bestFit="1" customWidth="1"/>
    <col min="15" max="16384" width="9.140625" style="1"/>
  </cols>
  <sheetData>
    <row r="1" spans="1:49" x14ac:dyDescent="0.2">
      <c r="J1" s="1"/>
      <c r="K1" s="5"/>
      <c r="L1" s="5"/>
      <c r="N1" s="5"/>
    </row>
    <row r="2" spans="1:49" ht="18.75" x14ac:dyDescent="0.2">
      <c r="A2" s="77" t="s">
        <v>0</v>
      </c>
      <c r="B2" s="77"/>
      <c r="C2" s="77"/>
      <c r="D2" s="5"/>
      <c r="E2" s="5"/>
      <c r="J2" s="1"/>
      <c r="K2" s="4"/>
      <c r="L2" s="4"/>
      <c r="N2" s="4"/>
    </row>
    <row r="3" spans="1:49" ht="18.75" x14ac:dyDescent="0.2">
      <c r="A3" s="77" t="s">
        <v>1</v>
      </c>
      <c r="B3" s="77"/>
      <c r="C3" s="77"/>
      <c r="D3" s="31"/>
      <c r="E3" s="31"/>
      <c r="F3" s="37"/>
      <c r="G3" s="37"/>
      <c r="H3" s="37"/>
      <c r="I3" s="37"/>
      <c r="J3" s="37"/>
      <c r="K3" s="4"/>
      <c r="L3" s="4"/>
      <c r="N3" s="4"/>
    </row>
    <row r="4" spans="1:49" x14ac:dyDescent="0.2">
      <c r="A4" s="37"/>
      <c r="B4" s="42"/>
      <c r="C4" s="37"/>
      <c r="D4" s="37"/>
      <c r="E4" s="37"/>
      <c r="F4" s="37"/>
      <c r="G4" s="37"/>
      <c r="H4" s="37"/>
      <c r="I4" s="37"/>
      <c r="J4" s="37"/>
      <c r="K4" s="4"/>
      <c r="L4" s="4"/>
      <c r="N4" s="4"/>
    </row>
    <row r="5" spans="1:49" x14ac:dyDescent="0.2">
      <c r="A5" s="37"/>
      <c r="B5" s="42"/>
      <c r="C5" s="37"/>
      <c r="D5" s="37"/>
      <c r="E5" s="37"/>
      <c r="F5" s="37"/>
      <c r="G5" s="37"/>
      <c r="H5" s="37"/>
      <c r="I5" s="37"/>
      <c r="J5" s="37"/>
      <c r="K5" s="4"/>
      <c r="L5" s="4"/>
      <c r="N5" s="4"/>
    </row>
    <row r="6" spans="1:49" ht="22.5" customHeight="1" x14ac:dyDescent="0.2">
      <c r="A6" s="80" t="s">
        <v>273</v>
      </c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</row>
    <row r="7" spans="1:49" ht="16.5" customHeight="1" x14ac:dyDescent="0.2">
      <c r="A7" s="81" t="s">
        <v>97</v>
      </c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</row>
    <row r="8" spans="1:49" x14ac:dyDescent="0.2">
      <c r="A8" s="31"/>
      <c r="B8" s="39"/>
      <c r="C8" s="31"/>
      <c r="D8" s="31"/>
      <c r="E8" s="31"/>
      <c r="F8" s="31"/>
      <c r="G8" s="31"/>
      <c r="H8" s="31"/>
      <c r="I8" s="31"/>
      <c r="J8" s="31"/>
      <c r="K8" s="38"/>
      <c r="L8" s="38"/>
      <c r="N8" s="38"/>
    </row>
    <row r="9" spans="1:49" x14ac:dyDescent="0.2">
      <c r="A9" s="37"/>
      <c r="B9" s="42"/>
      <c r="C9" s="37"/>
      <c r="D9" s="6"/>
      <c r="E9" s="6"/>
      <c r="F9" s="37"/>
      <c r="G9" s="37"/>
      <c r="H9" s="37"/>
      <c r="I9" s="37"/>
      <c r="J9" s="37"/>
      <c r="K9" s="37"/>
      <c r="L9" s="37"/>
      <c r="N9" s="37"/>
    </row>
    <row r="10" spans="1:49" x14ac:dyDescent="0.2">
      <c r="J10" s="1"/>
    </row>
    <row r="11" spans="1:49" s="37" customFormat="1" ht="31.5" x14ac:dyDescent="0.2">
      <c r="A11" s="48" t="s">
        <v>2</v>
      </c>
      <c r="B11" s="48" t="s">
        <v>3</v>
      </c>
      <c r="C11" s="48" t="s">
        <v>4</v>
      </c>
      <c r="D11" s="48" t="s">
        <v>5</v>
      </c>
      <c r="E11" s="48" t="s">
        <v>6</v>
      </c>
      <c r="F11" s="48" t="s">
        <v>7</v>
      </c>
      <c r="G11" s="48" t="s">
        <v>8</v>
      </c>
      <c r="H11" s="48" t="s">
        <v>9</v>
      </c>
      <c r="I11" s="48" t="s">
        <v>10</v>
      </c>
      <c r="J11" s="48" t="s">
        <v>11</v>
      </c>
      <c r="K11" s="48" t="s">
        <v>12</v>
      </c>
      <c r="L11" s="48" t="s">
        <v>13</v>
      </c>
      <c r="M11" s="48" t="s">
        <v>25</v>
      </c>
      <c r="N11" s="48" t="s">
        <v>14</v>
      </c>
    </row>
    <row r="12" spans="1:49" s="13" customFormat="1" x14ac:dyDescent="0.2">
      <c r="A12" s="48" t="s">
        <v>15</v>
      </c>
      <c r="B12" s="49" t="s">
        <v>16</v>
      </c>
      <c r="F12" s="50"/>
      <c r="G12" s="50"/>
      <c r="H12" s="50"/>
      <c r="I12" s="51"/>
      <c r="J12" s="51"/>
      <c r="K12" s="51"/>
      <c r="L12" s="73"/>
      <c r="M12" s="52"/>
      <c r="N12" s="5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</row>
    <row r="13" spans="1:49" s="21" customFormat="1" x14ac:dyDescent="0.2">
      <c r="A13" s="53">
        <v>1</v>
      </c>
      <c r="B13" s="46" t="s">
        <v>112</v>
      </c>
      <c r="C13" s="13" t="s">
        <v>208</v>
      </c>
      <c r="D13" s="13" t="s">
        <v>17</v>
      </c>
      <c r="E13" s="13" t="s">
        <v>100</v>
      </c>
      <c r="F13" s="13" t="s">
        <v>141</v>
      </c>
      <c r="G13" s="52"/>
      <c r="H13" s="13" t="s">
        <v>204</v>
      </c>
      <c r="I13" s="54"/>
      <c r="J13" s="50">
        <v>1</v>
      </c>
      <c r="K13" s="55" t="s">
        <v>19</v>
      </c>
      <c r="L13" s="74"/>
      <c r="M13" s="52" t="s">
        <v>26</v>
      </c>
      <c r="N13" s="52"/>
    </row>
    <row r="14" spans="1:49" s="21" customFormat="1" ht="31.5" x14ac:dyDescent="0.2">
      <c r="A14" s="53">
        <v>2</v>
      </c>
      <c r="B14" s="46" t="s">
        <v>130</v>
      </c>
      <c r="C14" s="13" t="s">
        <v>209</v>
      </c>
      <c r="D14" s="13" t="s">
        <v>17</v>
      </c>
      <c r="E14" s="13" t="s">
        <v>100</v>
      </c>
      <c r="F14" s="13" t="s">
        <v>140</v>
      </c>
      <c r="G14" s="52"/>
      <c r="H14" s="13" t="s">
        <v>23</v>
      </c>
      <c r="I14" s="56"/>
      <c r="J14" s="50">
        <v>1</v>
      </c>
      <c r="K14" s="55" t="s">
        <v>19</v>
      </c>
      <c r="L14" s="74"/>
      <c r="M14" s="52" t="s">
        <v>26</v>
      </c>
      <c r="N14" s="13"/>
    </row>
    <row r="15" spans="1:49" s="21" customFormat="1" x14ac:dyDescent="0.2">
      <c r="A15" s="53">
        <v>3</v>
      </c>
      <c r="B15" s="46" t="s">
        <v>107</v>
      </c>
      <c r="C15" s="13" t="s">
        <v>210</v>
      </c>
      <c r="D15" s="13" t="s">
        <v>17</v>
      </c>
      <c r="E15" s="13" t="s">
        <v>100</v>
      </c>
      <c r="F15" s="13" t="s">
        <v>31</v>
      </c>
      <c r="G15" s="13"/>
      <c r="H15" s="13" t="s">
        <v>23</v>
      </c>
      <c r="I15" s="54"/>
      <c r="J15" s="50">
        <v>1</v>
      </c>
      <c r="K15" s="55" t="s">
        <v>19</v>
      </c>
      <c r="L15" s="74"/>
      <c r="M15" s="57" t="s">
        <v>26</v>
      </c>
      <c r="N15" s="13" t="s">
        <v>161</v>
      </c>
    </row>
    <row r="16" spans="1:49" s="21" customFormat="1" x14ac:dyDescent="0.2">
      <c r="A16" s="53">
        <v>4</v>
      </c>
      <c r="B16" s="46" t="s">
        <v>107</v>
      </c>
      <c r="C16" s="13" t="s">
        <v>211</v>
      </c>
      <c r="D16" s="13" t="s">
        <v>17</v>
      </c>
      <c r="E16" s="13" t="s">
        <v>100</v>
      </c>
      <c r="F16" s="13" t="s">
        <v>31</v>
      </c>
      <c r="G16" s="13"/>
      <c r="H16" s="13" t="s">
        <v>23</v>
      </c>
      <c r="I16" s="54"/>
      <c r="J16" s="50">
        <v>1</v>
      </c>
      <c r="K16" s="55" t="s">
        <v>19</v>
      </c>
      <c r="L16" s="74"/>
      <c r="M16" s="57" t="s">
        <v>26</v>
      </c>
      <c r="N16" s="13" t="s">
        <v>164</v>
      </c>
    </row>
    <row r="17" spans="1:14" s="21" customFormat="1" x14ac:dyDescent="0.2">
      <c r="A17" s="53">
        <v>5</v>
      </c>
      <c r="B17" s="46" t="s">
        <v>107</v>
      </c>
      <c r="C17" s="13" t="s">
        <v>212</v>
      </c>
      <c r="D17" s="13" t="s">
        <v>17</v>
      </c>
      <c r="E17" s="13" t="s">
        <v>100</v>
      </c>
      <c r="F17" s="13" t="s">
        <v>31</v>
      </c>
      <c r="G17" s="13"/>
      <c r="H17" s="13" t="s">
        <v>23</v>
      </c>
      <c r="I17" s="54"/>
      <c r="J17" s="50">
        <v>1</v>
      </c>
      <c r="K17" s="55" t="s">
        <v>19</v>
      </c>
      <c r="L17" s="74"/>
      <c r="M17" s="57" t="s">
        <v>26</v>
      </c>
      <c r="N17" s="13" t="s">
        <v>163</v>
      </c>
    </row>
    <row r="18" spans="1:14" s="21" customFormat="1" x14ac:dyDescent="0.2">
      <c r="A18" s="53">
        <v>6</v>
      </c>
      <c r="B18" s="46" t="s">
        <v>103</v>
      </c>
      <c r="C18" s="13" t="s">
        <v>213</v>
      </c>
      <c r="D18" s="13" t="s">
        <v>17</v>
      </c>
      <c r="E18" s="13" t="s">
        <v>100</v>
      </c>
      <c r="F18" s="13" t="s">
        <v>32</v>
      </c>
      <c r="G18" s="13"/>
      <c r="H18" s="13" t="s">
        <v>23</v>
      </c>
      <c r="I18" s="54"/>
      <c r="J18" s="50">
        <v>1</v>
      </c>
      <c r="K18" s="55" t="s">
        <v>19</v>
      </c>
      <c r="L18" s="74"/>
      <c r="M18" s="57" t="s">
        <v>26</v>
      </c>
      <c r="N18" s="13" t="s">
        <v>158</v>
      </c>
    </row>
    <row r="19" spans="1:14" s="21" customFormat="1" x14ac:dyDescent="0.2">
      <c r="A19" s="53">
        <v>7</v>
      </c>
      <c r="B19" s="46" t="s">
        <v>105</v>
      </c>
      <c r="C19" s="13" t="s">
        <v>214</v>
      </c>
      <c r="D19" s="13" t="s">
        <v>17</v>
      </c>
      <c r="E19" s="13" t="s">
        <v>100</v>
      </c>
      <c r="F19" s="13" t="s">
        <v>30</v>
      </c>
      <c r="G19" s="13"/>
      <c r="H19" s="13" t="s">
        <v>23</v>
      </c>
      <c r="I19" s="54"/>
      <c r="J19" s="50">
        <v>1</v>
      </c>
      <c r="K19" s="55" t="s">
        <v>19</v>
      </c>
      <c r="L19" s="74"/>
      <c r="M19" s="57" t="s">
        <v>26</v>
      </c>
      <c r="N19" s="13"/>
    </row>
    <row r="20" spans="1:14" s="21" customFormat="1" x14ac:dyDescent="0.2">
      <c r="A20" s="53">
        <v>8</v>
      </c>
      <c r="B20" s="46" t="s">
        <v>205</v>
      </c>
      <c r="C20" s="13" t="s">
        <v>215</v>
      </c>
      <c r="D20" s="13" t="s">
        <v>17</v>
      </c>
      <c r="E20" s="13" t="s">
        <v>100</v>
      </c>
      <c r="F20" s="13"/>
      <c r="G20" s="52"/>
      <c r="H20" s="13" t="s">
        <v>23</v>
      </c>
      <c r="I20" s="56"/>
      <c r="J20" s="50">
        <v>1</v>
      </c>
      <c r="K20" s="55" t="s">
        <v>19</v>
      </c>
      <c r="L20" s="74"/>
      <c r="M20" s="52" t="s">
        <v>26</v>
      </c>
      <c r="N20" s="13"/>
    </row>
    <row r="21" spans="1:14" s="21" customFormat="1" x14ac:dyDescent="0.2">
      <c r="A21" s="53">
        <v>9</v>
      </c>
      <c r="B21" s="46" t="s">
        <v>279</v>
      </c>
      <c r="C21" s="13" t="s">
        <v>278</v>
      </c>
      <c r="D21" s="13" t="s">
        <v>17</v>
      </c>
      <c r="E21" s="13" t="s">
        <v>100</v>
      </c>
      <c r="F21" s="13"/>
      <c r="G21" s="52"/>
      <c r="H21" s="13" t="s">
        <v>23</v>
      </c>
      <c r="I21" s="56">
        <v>45771</v>
      </c>
      <c r="J21" s="50">
        <v>1</v>
      </c>
      <c r="K21" s="55" t="s">
        <v>19</v>
      </c>
      <c r="L21" s="74">
        <v>3509000</v>
      </c>
      <c r="M21" s="52" t="s">
        <v>26</v>
      </c>
      <c r="N21" s="13" t="s">
        <v>136</v>
      </c>
    </row>
    <row r="22" spans="1:14" s="21" customFormat="1" x14ac:dyDescent="0.2">
      <c r="A22" s="53">
        <v>10</v>
      </c>
      <c r="B22" s="46" t="s">
        <v>106</v>
      </c>
      <c r="C22" s="13" t="s">
        <v>216</v>
      </c>
      <c r="D22" s="13" t="s">
        <v>17</v>
      </c>
      <c r="E22" s="13" t="s">
        <v>100</v>
      </c>
      <c r="F22" s="13" t="s">
        <v>151</v>
      </c>
      <c r="G22" s="13"/>
      <c r="H22" s="13" t="s">
        <v>23</v>
      </c>
      <c r="I22" s="54"/>
      <c r="J22" s="50">
        <v>1</v>
      </c>
      <c r="K22" s="55" t="s">
        <v>19</v>
      </c>
      <c r="L22" s="74"/>
      <c r="M22" s="57" t="s">
        <v>26</v>
      </c>
      <c r="N22" s="13" t="s">
        <v>161</v>
      </c>
    </row>
    <row r="23" spans="1:14" s="21" customFormat="1" x14ac:dyDescent="0.2">
      <c r="A23" s="53">
        <v>11</v>
      </c>
      <c r="B23" s="46" t="s">
        <v>106</v>
      </c>
      <c r="C23" s="13" t="s">
        <v>217</v>
      </c>
      <c r="D23" s="13" t="s">
        <v>17</v>
      </c>
      <c r="E23" s="13" t="s">
        <v>100</v>
      </c>
      <c r="F23" s="13" t="s">
        <v>151</v>
      </c>
      <c r="G23" s="13"/>
      <c r="H23" s="13" t="s">
        <v>23</v>
      </c>
      <c r="I23" s="54"/>
      <c r="J23" s="50">
        <v>1</v>
      </c>
      <c r="K23" s="55" t="s">
        <v>19</v>
      </c>
      <c r="L23" s="74"/>
      <c r="M23" s="57" t="s">
        <v>26</v>
      </c>
      <c r="N23" s="13" t="s">
        <v>160</v>
      </c>
    </row>
    <row r="24" spans="1:14" s="21" customFormat="1" x14ac:dyDescent="0.2">
      <c r="A24" s="53">
        <v>12</v>
      </c>
      <c r="B24" s="46" t="s">
        <v>106</v>
      </c>
      <c r="C24" s="13" t="s">
        <v>218</v>
      </c>
      <c r="D24" s="13" t="s">
        <v>17</v>
      </c>
      <c r="E24" s="13" t="s">
        <v>100</v>
      </c>
      <c r="F24" s="13" t="s">
        <v>151</v>
      </c>
      <c r="G24" s="13"/>
      <c r="H24" s="13" t="s">
        <v>23</v>
      </c>
      <c r="I24" s="54"/>
      <c r="J24" s="50">
        <v>1</v>
      </c>
      <c r="K24" s="55" t="s">
        <v>19</v>
      </c>
      <c r="L24" s="74"/>
      <c r="M24" s="57" t="s">
        <v>26</v>
      </c>
      <c r="N24" s="13" t="s">
        <v>163</v>
      </c>
    </row>
    <row r="25" spans="1:14" s="21" customFormat="1" x14ac:dyDescent="0.2">
      <c r="A25" s="53">
        <v>13</v>
      </c>
      <c r="B25" s="46" t="s">
        <v>106</v>
      </c>
      <c r="C25" s="13" t="s">
        <v>219</v>
      </c>
      <c r="D25" s="13" t="s">
        <v>17</v>
      </c>
      <c r="E25" s="13" t="s">
        <v>100</v>
      </c>
      <c r="F25" s="13" t="s">
        <v>151</v>
      </c>
      <c r="G25" s="13"/>
      <c r="H25" s="13" t="s">
        <v>23</v>
      </c>
      <c r="I25" s="54"/>
      <c r="J25" s="50">
        <v>1</v>
      </c>
      <c r="K25" s="55" t="s">
        <v>19</v>
      </c>
      <c r="L25" s="74"/>
      <c r="M25" s="57" t="s">
        <v>26</v>
      </c>
      <c r="N25" s="13" t="s">
        <v>164</v>
      </c>
    </row>
    <row r="26" spans="1:14" s="21" customFormat="1" x14ac:dyDescent="0.2">
      <c r="A26" s="53">
        <v>14</v>
      </c>
      <c r="B26" s="46" t="s">
        <v>128</v>
      </c>
      <c r="C26" s="13" t="s">
        <v>220</v>
      </c>
      <c r="D26" s="13" t="s">
        <v>17</v>
      </c>
      <c r="E26" s="13" t="s">
        <v>100</v>
      </c>
      <c r="F26" s="13" t="s">
        <v>141</v>
      </c>
      <c r="G26" s="52"/>
      <c r="H26" s="13" t="s">
        <v>23</v>
      </c>
      <c r="I26" s="56"/>
      <c r="J26" s="50">
        <v>1</v>
      </c>
      <c r="K26" s="55" t="s">
        <v>19</v>
      </c>
      <c r="L26" s="74"/>
      <c r="M26" s="52" t="s">
        <v>26</v>
      </c>
      <c r="N26" s="13"/>
    </row>
    <row r="27" spans="1:14" s="21" customFormat="1" ht="31.5" x14ac:dyDescent="0.2">
      <c r="A27" s="53">
        <v>15</v>
      </c>
      <c r="B27" s="46" t="s">
        <v>127</v>
      </c>
      <c r="C27" s="13" t="s">
        <v>221</v>
      </c>
      <c r="D27" s="13" t="s">
        <v>17</v>
      </c>
      <c r="E27" s="13" t="s">
        <v>100</v>
      </c>
      <c r="F27" s="13" t="s">
        <v>32</v>
      </c>
      <c r="G27" s="52"/>
      <c r="H27" s="13" t="s">
        <v>23</v>
      </c>
      <c r="I27" s="56"/>
      <c r="J27" s="50">
        <v>1</v>
      </c>
      <c r="K27" s="55" t="s">
        <v>19</v>
      </c>
      <c r="L27" s="74"/>
      <c r="M27" s="52" t="s">
        <v>26</v>
      </c>
      <c r="N27" s="13"/>
    </row>
    <row r="28" spans="1:14" s="21" customFormat="1" x14ac:dyDescent="0.2">
      <c r="A28" s="53">
        <v>16</v>
      </c>
      <c r="B28" s="46" t="s">
        <v>202</v>
      </c>
      <c r="C28" s="13" t="s">
        <v>222</v>
      </c>
      <c r="D28" s="13" t="s">
        <v>17</v>
      </c>
      <c r="E28" s="13" t="s">
        <v>100</v>
      </c>
      <c r="F28" s="13"/>
      <c r="G28" s="52"/>
      <c r="H28" s="13" t="s">
        <v>23</v>
      </c>
      <c r="I28" s="56"/>
      <c r="J28" s="50">
        <v>1</v>
      </c>
      <c r="K28" s="55" t="s">
        <v>19</v>
      </c>
      <c r="L28" s="74"/>
      <c r="M28" s="52" t="s">
        <v>26</v>
      </c>
      <c r="N28" s="13"/>
    </row>
    <row r="29" spans="1:14" s="21" customFormat="1" x14ac:dyDescent="0.2">
      <c r="A29" s="53">
        <v>17</v>
      </c>
      <c r="B29" s="46" t="s">
        <v>202</v>
      </c>
      <c r="C29" s="13" t="s">
        <v>223</v>
      </c>
      <c r="D29" s="13" t="s">
        <v>17</v>
      </c>
      <c r="E29" s="13" t="s">
        <v>100</v>
      </c>
      <c r="F29" s="13"/>
      <c r="G29" s="52"/>
      <c r="H29" s="13" t="s">
        <v>23</v>
      </c>
      <c r="I29" s="56"/>
      <c r="J29" s="50">
        <v>1</v>
      </c>
      <c r="K29" s="55" t="s">
        <v>19</v>
      </c>
      <c r="L29" s="74"/>
      <c r="M29" s="52" t="s">
        <v>26</v>
      </c>
      <c r="N29" s="13"/>
    </row>
    <row r="30" spans="1:14" s="21" customFormat="1" x14ac:dyDescent="0.2">
      <c r="A30" s="53">
        <v>18</v>
      </c>
      <c r="B30" s="46" t="s">
        <v>116</v>
      </c>
      <c r="C30" s="13" t="s">
        <v>224</v>
      </c>
      <c r="D30" s="13" t="s">
        <v>17</v>
      </c>
      <c r="E30" s="13" t="s">
        <v>100</v>
      </c>
      <c r="F30" s="13" t="s">
        <v>142</v>
      </c>
      <c r="G30" s="52"/>
      <c r="H30" s="13" t="s">
        <v>23</v>
      </c>
      <c r="I30" s="56"/>
      <c r="J30" s="50">
        <v>1</v>
      </c>
      <c r="K30" s="55" t="s">
        <v>19</v>
      </c>
      <c r="L30" s="74"/>
      <c r="M30" s="52" t="s">
        <v>26</v>
      </c>
      <c r="N30" s="13"/>
    </row>
    <row r="31" spans="1:14" s="21" customFormat="1" x14ac:dyDescent="0.2">
      <c r="A31" s="53">
        <v>19</v>
      </c>
      <c r="B31" s="46" t="s">
        <v>115</v>
      </c>
      <c r="C31" s="13" t="s">
        <v>225</v>
      </c>
      <c r="D31" s="13" t="s">
        <v>17</v>
      </c>
      <c r="E31" s="13" t="s">
        <v>100</v>
      </c>
      <c r="F31" s="13" t="s">
        <v>142</v>
      </c>
      <c r="G31" s="52"/>
      <c r="H31" s="13" t="s">
        <v>23</v>
      </c>
      <c r="I31" s="56"/>
      <c r="J31" s="50">
        <v>1</v>
      </c>
      <c r="K31" s="55" t="s">
        <v>19</v>
      </c>
      <c r="L31" s="74"/>
      <c r="M31" s="52" t="s">
        <v>26</v>
      </c>
      <c r="N31" s="13"/>
    </row>
    <row r="32" spans="1:14" s="21" customFormat="1" x14ac:dyDescent="0.2">
      <c r="A32" s="53">
        <v>20</v>
      </c>
      <c r="B32" s="46" t="s">
        <v>123</v>
      </c>
      <c r="C32" s="13" t="s">
        <v>226</v>
      </c>
      <c r="D32" s="13" t="s">
        <v>17</v>
      </c>
      <c r="E32" s="13" t="s">
        <v>100</v>
      </c>
      <c r="F32" s="13" t="s">
        <v>144</v>
      </c>
      <c r="G32" s="52"/>
      <c r="H32" s="13" t="s">
        <v>23</v>
      </c>
      <c r="I32" s="56"/>
      <c r="J32" s="50">
        <v>1</v>
      </c>
      <c r="K32" s="55" t="s">
        <v>19</v>
      </c>
      <c r="L32" s="74"/>
      <c r="M32" s="52" t="s">
        <v>26</v>
      </c>
      <c r="N32" s="13"/>
    </row>
    <row r="33" spans="1:14" s="21" customFormat="1" x14ac:dyDescent="0.2">
      <c r="A33" s="53">
        <v>21</v>
      </c>
      <c r="B33" s="46" t="s">
        <v>129</v>
      </c>
      <c r="C33" s="13" t="s">
        <v>227</v>
      </c>
      <c r="D33" s="13" t="s">
        <v>17</v>
      </c>
      <c r="E33" s="13" t="s">
        <v>100</v>
      </c>
      <c r="F33" s="13" t="s">
        <v>139</v>
      </c>
      <c r="G33" s="52"/>
      <c r="H33" s="13" t="s">
        <v>23</v>
      </c>
      <c r="I33" s="56"/>
      <c r="J33" s="50">
        <v>1</v>
      </c>
      <c r="K33" s="55" t="s">
        <v>19</v>
      </c>
      <c r="L33" s="74"/>
      <c r="M33" s="52" t="s">
        <v>26</v>
      </c>
      <c r="N33" s="13"/>
    </row>
    <row r="34" spans="1:14" s="21" customFormat="1" x14ac:dyDescent="0.2">
      <c r="A34" s="53">
        <v>22</v>
      </c>
      <c r="B34" s="46" t="s">
        <v>125</v>
      </c>
      <c r="C34" s="13" t="s">
        <v>228</v>
      </c>
      <c r="D34" s="13" t="s">
        <v>17</v>
      </c>
      <c r="E34" s="13" t="s">
        <v>100</v>
      </c>
      <c r="F34" s="52"/>
      <c r="G34" s="52"/>
      <c r="H34" s="13" t="s">
        <v>23</v>
      </c>
      <c r="I34" s="56"/>
      <c r="J34" s="50">
        <v>1</v>
      </c>
      <c r="K34" s="55" t="s">
        <v>19</v>
      </c>
      <c r="L34" s="74"/>
      <c r="M34" s="52" t="s">
        <v>26</v>
      </c>
      <c r="N34" s="13"/>
    </row>
    <row r="35" spans="1:14" x14ac:dyDescent="0.2">
      <c r="A35" s="53">
        <v>23</v>
      </c>
      <c r="B35" s="46" t="s">
        <v>176</v>
      </c>
      <c r="C35" s="13" t="s">
        <v>229</v>
      </c>
      <c r="D35" s="13" t="s">
        <v>17</v>
      </c>
      <c r="E35" s="13" t="s">
        <v>100</v>
      </c>
      <c r="F35" s="13" t="s">
        <v>32</v>
      </c>
      <c r="G35" s="13"/>
      <c r="H35" s="13" t="s">
        <v>23</v>
      </c>
      <c r="I35" s="54"/>
      <c r="J35" s="50">
        <v>1</v>
      </c>
      <c r="K35" s="55" t="s">
        <v>19</v>
      </c>
      <c r="L35" s="74"/>
      <c r="M35" s="57" t="s">
        <v>26</v>
      </c>
      <c r="N35" s="13" t="s">
        <v>159</v>
      </c>
    </row>
    <row r="36" spans="1:14" x14ac:dyDescent="0.2">
      <c r="A36" s="53">
        <v>24</v>
      </c>
      <c r="B36" s="46" t="s">
        <v>135</v>
      </c>
      <c r="C36" s="13" t="s">
        <v>230</v>
      </c>
      <c r="D36" s="13" t="s">
        <v>17</v>
      </c>
      <c r="E36" s="13" t="s">
        <v>100</v>
      </c>
      <c r="F36" s="13" t="s">
        <v>31</v>
      </c>
      <c r="G36" s="13"/>
      <c r="H36" s="13" t="s">
        <v>23</v>
      </c>
      <c r="I36" s="54"/>
      <c r="J36" s="50">
        <v>1</v>
      </c>
      <c r="K36" s="55" t="s">
        <v>19</v>
      </c>
      <c r="L36" s="74"/>
      <c r="M36" s="57" t="s">
        <v>26</v>
      </c>
      <c r="N36" s="13" t="s">
        <v>161</v>
      </c>
    </row>
    <row r="37" spans="1:14" x14ac:dyDescent="0.2">
      <c r="A37" s="53">
        <v>25</v>
      </c>
      <c r="B37" s="46" t="s">
        <v>135</v>
      </c>
      <c r="C37" s="13" t="s">
        <v>231</v>
      </c>
      <c r="D37" s="13" t="s">
        <v>17</v>
      </c>
      <c r="E37" s="13" t="s">
        <v>100</v>
      </c>
      <c r="F37" s="13" t="s">
        <v>31</v>
      </c>
      <c r="G37" s="13"/>
      <c r="H37" s="13" t="s">
        <v>23</v>
      </c>
      <c r="I37" s="54"/>
      <c r="J37" s="50">
        <v>1</v>
      </c>
      <c r="K37" s="55" t="s">
        <v>19</v>
      </c>
      <c r="L37" s="74"/>
      <c r="M37" s="57" t="s">
        <v>26</v>
      </c>
      <c r="N37" s="13" t="s">
        <v>277</v>
      </c>
    </row>
    <row r="38" spans="1:14" x14ac:dyDescent="0.2">
      <c r="A38" s="53">
        <v>26</v>
      </c>
      <c r="B38" s="46" t="s">
        <v>177</v>
      </c>
      <c r="C38" s="13" t="s">
        <v>232</v>
      </c>
      <c r="D38" s="13" t="s">
        <v>17</v>
      </c>
      <c r="E38" s="13" t="s">
        <v>100</v>
      </c>
      <c r="F38" s="13" t="s">
        <v>31</v>
      </c>
      <c r="G38" s="13"/>
      <c r="H38" s="13" t="s">
        <v>23</v>
      </c>
      <c r="I38" s="54"/>
      <c r="J38" s="50">
        <v>1</v>
      </c>
      <c r="K38" s="55" t="s">
        <v>19</v>
      </c>
      <c r="L38" s="74"/>
      <c r="M38" s="57" t="s">
        <v>26</v>
      </c>
      <c r="N38" s="13" t="s">
        <v>161</v>
      </c>
    </row>
    <row r="39" spans="1:14" x14ac:dyDescent="0.2">
      <c r="A39" s="53">
        <v>27</v>
      </c>
      <c r="B39" s="46" t="s">
        <v>177</v>
      </c>
      <c r="C39" s="13" t="s">
        <v>233</v>
      </c>
      <c r="D39" s="13" t="s">
        <v>17</v>
      </c>
      <c r="E39" s="13" t="s">
        <v>100</v>
      </c>
      <c r="F39" s="13" t="s">
        <v>31</v>
      </c>
      <c r="G39" s="13"/>
      <c r="H39" s="13" t="s">
        <v>23</v>
      </c>
      <c r="I39" s="54"/>
      <c r="J39" s="50">
        <v>1</v>
      </c>
      <c r="K39" s="55" t="s">
        <v>19</v>
      </c>
      <c r="L39" s="74"/>
      <c r="M39" s="57" t="s">
        <v>26</v>
      </c>
      <c r="N39" s="13"/>
    </row>
    <row r="40" spans="1:14" x14ac:dyDescent="0.2">
      <c r="A40" s="53">
        <v>28</v>
      </c>
      <c r="B40" s="46" t="s">
        <v>137</v>
      </c>
      <c r="C40" s="13" t="s">
        <v>234</v>
      </c>
      <c r="D40" s="13" t="s">
        <v>17</v>
      </c>
      <c r="E40" s="13" t="s">
        <v>100</v>
      </c>
      <c r="F40" s="13" t="s">
        <v>31</v>
      </c>
      <c r="G40" s="13"/>
      <c r="H40" s="13" t="s">
        <v>23</v>
      </c>
      <c r="I40" s="54"/>
      <c r="J40" s="50">
        <v>1</v>
      </c>
      <c r="K40" s="55" t="s">
        <v>19</v>
      </c>
      <c r="L40" s="74"/>
      <c r="M40" s="57" t="s">
        <v>26</v>
      </c>
      <c r="N40" s="13" t="s">
        <v>160</v>
      </c>
    </row>
    <row r="41" spans="1:14" x14ac:dyDescent="0.2">
      <c r="A41" s="53">
        <v>29</v>
      </c>
      <c r="B41" s="46" t="s">
        <v>135</v>
      </c>
      <c r="C41" s="13" t="s">
        <v>235</v>
      </c>
      <c r="D41" s="13" t="s">
        <v>17</v>
      </c>
      <c r="E41" s="13" t="s">
        <v>100</v>
      </c>
      <c r="F41" s="13" t="s">
        <v>31</v>
      </c>
      <c r="G41" s="13"/>
      <c r="H41" s="13" t="s">
        <v>23</v>
      </c>
      <c r="I41" s="54"/>
      <c r="J41" s="50">
        <v>1</v>
      </c>
      <c r="K41" s="55" t="s">
        <v>19</v>
      </c>
      <c r="L41" s="74"/>
      <c r="M41" s="57" t="s">
        <v>26</v>
      </c>
      <c r="N41" s="13" t="s">
        <v>206</v>
      </c>
    </row>
    <row r="42" spans="1:14" x14ac:dyDescent="0.2">
      <c r="A42" s="53">
        <v>30</v>
      </c>
      <c r="B42" s="46" t="s">
        <v>194</v>
      </c>
      <c r="C42" s="13" t="s">
        <v>236</v>
      </c>
      <c r="D42" s="13" t="s">
        <v>17</v>
      </c>
      <c r="E42" s="13" t="s">
        <v>100</v>
      </c>
      <c r="F42" s="13" t="s">
        <v>143</v>
      </c>
      <c r="G42" s="13"/>
      <c r="H42" s="13" t="s">
        <v>23</v>
      </c>
      <c r="I42" s="54"/>
      <c r="J42" s="50">
        <v>1</v>
      </c>
      <c r="K42" s="55" t="s">
        <v>19</v>
      </c>
      <c r="L42" s="74"/>
      <c r="M42" s="57" t="s">
        <v>26</v>
      </c>
      <c r="N42" s="13" t="s">
        <v>206</v>
      </c>
    </row>
    <row r="43" spans="1:14" x14ac:dyDescent="0.2">
      <c r="A43" s="53">
        <v>31</v>
      </c>
      <c r="B43" s="46" t="s">
        <v>195</v>
      </c>
      <c r="C43" s="13" t="s">
        <v>237</v>
      </c>
      <c r="D43" s="13" t="s">
        <v>17</v>
      </c>
      <c r="E43" s="13" t="s">
        <v>100</v>
      </c>
      <c r="F43" s="13" t="s">
        <v>203</v>
      </c>
      <c r="G43" s="13"/>
      <c r="H43" s="13" t="s">
        <v>23</v>
      </c>
      <c r="I43" s="54"/>
      <c r="J43" s="50">
        <v>1</v>
      </c>
      <c r="K43" s="55" t="s">
        <v>19</v>
      </c>
      <c r="L43" s="74"/>
      <c r="M43" s="57" t="s">
        <v>26</v>
      </c>
      <c r="N43" s="13" t="s">
        <v>206</v>
      </c>
    </row>
    <row r="44" spans="1:14" x14ac:dyDescent="0.2">
      <c r="A44" s="53">
        <v>32</v>
      </c>
      <c r="B44" s="46" t="s">
        <v>120</v>
      </c>
      <c r="C44" s="13" t="s">
        <v>238</v>
      </c>
      <c r="D44" s="13" t="s">
        <v>17</v>
      </c>
      <c r="E44" s="13" t="s">
        <v>100</v>
      </c>
      <c r="F44" s="13" t="s">
        <v>132</v>
      </c>
      <c r="G44" s="52"/>
      <c r="H44" s="13" t="s">
        <v>23</v>
      </c>
      <c r="I44" s="56"/>
      <c r="J44" s="50">
        <v>1</v>
      </c>
      <c r="K44" s="55" t="s">
        <v>19</v>
      </c>
      <c r="L44" s="74"/>
      <c r="M44" s="52" t="s">
        <v>26</v>
      </c>
      <c r="N44" s="13"/>
    </row>
    <row r="45" spans="1:14" x14ac:dyDescent="0.2">
      <c r="A45" s="53">
        <v>33</v>
      </c>
      <c r="B45" s="46" t="s">
        <v>118</v>
      </c>
      <c r="C45" s="13" t="s">
        <v>239</v>
      </c>
      <c r="D45" s="13" t="s">
        <v>17</v>
      </c>
      <c r="E45" s="13" t="s">
        <v>100</v>
      </c>
      <c r="F45" s="13" t="s">
        <v>146</v>
      </c>
      <c r="G45" s="52"/>
      <c r="H45" s="13" t="s">
        <v>23</v>
      </c>
      <c r="I45" s="56"/>
      <c r="J45" s="50">
        <v>1</v>
      </c>
      <c r="K45" s="55" t="s">
        <v>19</v>
      </c>
      <c r="L45" s="74"/>
      <c r="M45" s="52" t="s">
        <v>26</v>
      </c>
      <c r="N45" s="13"/>
    </row>
    <row r="46" spans="1:14" x14ac:dyDescent="0.2">
      <c r="A46" s="53">
        <v>34</v>
      </c>
      <c r="B46" s="46" t="s">
        <v>119</v>
      </c>
      <c r="C46" s="13" t="s">
        <v>240</v>
      </c>
      <c r="D46" s="13" t="s">
        <v>17</v>
      </c>
      <c r="E46" s="13" t="s">
        <v>100</v>
      </c>
      <c r="F46" s="13" t="s">
        <v>145</v>
      </c>
      <c r="G46" s="52"/>
      <c r="H46" s="13" t="s">
        <v>23</v>
      </c>
      <c r="I46" s="56"/>
      <c r="J46" s="50">
        <v>1</v>
      </c>
      <c r="K46" s="55" t="s">
        <v>19</v>
      </c>
      <c r="L46" s="74"/>
      <c r="M46" s="52" t="s">
        <v>26</v>
      </c>
      <c r="N46" s="13"/>
    </row>
    <row r="47" spans="1:14" x14ac:dyDescent="0.2">
      <c r="A47" s="53">
        <v>35</v>
      </c>
      <c r="B47" s="46" t="s">
        <v>156</v>
      </c>
      <c r="C47" s="13" t="s">
        <v>241</v>
      </c>
      <c r="D47" s="13" t="s">
        <v>17</v>
      </c>
      <c r="E47" s="13" t="s">
        <v>100</v>
      </c>
      <c r="F47" s="13"/>
      <c r="G47" s="52"/>
      <c r="H47" s="13" t="s">
        <v>23</v>
      </c>
      <c r="I47" s="54"/>
      <c r="J47" s="50">
        <v>1</v>
      </c>
      <c r="K47" s="55" t="s">
        <v>19</v>
      </c>
      <c r="L47" s="74"/>
      <c r="M47" s="52" t="s">
        <v>26</v>
      </c>
      <c r="N47" s="52"/>
    </row>
    <row r="48" spans="1:14" x14ac:dyDescent="0.2">
      <c r="A48" s="53">
        <v>36</v>
      </c>
      <c r="B48" s="46" t="s">
        <v>156</v>
      </c>
      <c r="C48" s="13" t="s">
        <v>242</v>
      </c>
      <c r="D48" s="13" t="s">
        <v>17</v>
      </c>
      <c r="E48" s="13" t="s">
        <v>100</v>
      </c>
      <c r="F48" s="13"/>
      <c r="G48" s="52"/>
      <c r="H48" s="13" t="s">
        <v>23</v>
      </c>
      <c r="I48" s="54"/>
      <c r="J48" s="50">
        <v>1</v>
      </c>
      <c r="K48" s="55" t="s">
        <v>19</v>
      </c>
      <c r="L48" s="74"/>
      <c r="M48" s="52" t="s">
        <v>26</v>
      </c>
      <c r="N48" s="52"/>
    </row>
    <row r="49" spans="1:14" x14ac:dyDescent="0.2">
      <c r="A49" s="53">
        <v>37</v>
      </c>
      <c r="B49" s="58" t="s">
        <v>156</v>
      </c>
      <c r="C49" s="59" t="s">
        <v>243</v>
      </c>
      <c r="D49" s="59" t="s">
        <v>17</v>
      </c>
      <c r="E49" s="59" t="s">
        <v>100</v>
      </c>
      <c r="F49" s="59"/>
      <c r="G49" s="60"/>
      <c r="H49" s="59" t="s">
        <v>23</v>
      </c>
      <c r="I49" s="61"/>
      <c r="J49" s="62">
        <v>1</v>
      </c>
      <c r="K49" s="63" t="s">
        <v>19</v>
      </c>
      <c r="L49" s="75"/>
      <c r="M49" s="60" t="s">
        <v>26</v>
      </c>
      <c r="N49" s="60"/>
    </row>
    <row r="50" spans="1:14" x14ac:dyDescent="0.2">
      <c r="A50" s="53">
        <v>38</v>
      </c>
      <c r="B50" s="58" t="s">
        <v>101</v>
      </c>
      <c r="C50" s="59" t="s">
        <v>244</v>
      </c>
      <c r="D50" s="59" t="s">
        <v>17</v>
      </c>
      <c r="E50" s="59" t="s">
        <v>100</v>
      </c>
      <c r="F50" s="59" t="s">
        <v>32</v>
      </c>
      <c r="G50" s="59"/>
      <c r="H50" s="59" t="s">
        <v>1</v>
      </c>
      <c r="I50" s="61"/>
      <c r="J50" s="62">
        <v>1</v>
      </c>
      <c r="K50" s="63" t="s">
        <v>134</v>
      </c>
      <c r="L50" s="75">
        <v>13280000</v>
      </c>
      <c r="M50" s="60" t="s">
        <v>26</v>
      </c>
      <c r="N50" s="64" t="s">
        <v>157</v>
      </c>
    </row>
    <row r="51" spans="1:14" x14ac:dyDescent="0.2">
      <c r="A51" s="53">
        <v>39</v>
      </c>
      <c r="B51" s="46" t="s">
        <v>131</v>
      </c>
      <c r="C51" s="13" t="s">
        <v>245</v>
      </c>
      <c r="D51" s="13" t="s">
        <v>17</v>
      </c>
      <c r="E51" s="13" t="s">
        <v>100</v>
      </c>
      <c r="F51" s="13" t="s">
        <v>31</v>
      </c>
      <c r="G51" s="13"/>
      <c r="H51" s="13" t="s">
        <v>1</v>
      </c>
      <c r="I51" s="54"/>
      <c r="J51" s="50">
        <v>1</v>
      </c>
      <c r="K51" s="55" t="s">
        <v>134</v>
      </c>
      <c r="L51" s="74">
        <v>12790000</v>
      </c>
      <c r="M51" s="52" t="s">
        <v>26</v>
      </c>
      <c r="N51" s="65"/>
    </row>
    <row r="52" spans="1:14" x14ac:dyDescent="0.2">
      <c r="A52" s="53">
        <v>40</v>
      </c>
      <c r="B52" s="46" t="s">
        <v>102</v>
      </c>
      <c r="C52" s="13" t="s">
        <v>246</v>
      </c>
      <c r="D52" s="13" t="s">
        <v>17</v>
      </c>
      <c r="E52" s="13" t="s">
        <v>100</v>
      </c>
      <c r="F52" s="13" t="s">
        <v>31</v>
      </c>
      <c r="G52" s="13"/>
      <c r="H52" s="13" t="s">
        <v>23</v>
      </c>
      <c r="I52" s="54"/>
      <c r="J52" s="50">
        <v>1</v>
      </c>
      <c r="K52" s="55" t="s">
        <v>134</v>
      </c>
      <c r="L52" s="74"/>
      <c r="M52" s="52" t="s">
        <v>26</v>
      </c>
      <c r="N52" s="13"/>
    </row>
    <row r="53" spans="1:14" x14ac:dyDescent="0.2">
      <c r="A53" s="53">
        <v>41</v>
      </c>
      <c r="B53" s="46" t="s">
        <v>108</v>
      </c>
      <c r="C53" s="13" t="s">
        <v>247</v>
      </c>
      <c r="D53" s="13" t="s">
        <v>17</v>
      </c>
      <c r="E53" s="13" t="s">
        <v>100</v>
      </c>
      <c r="F53" s="13" t="s">
        <v>150</v>
      </c>
      <c r="G53" s="52"/>
      <c r="H53" s="13" t="s">
        <v>1</v>
      </c>
      <c r="I53" s="54"/>
      <c r="J53" s="50">
        <v>1</v>
      </c>
      <c r="K53" s="55" t="s">
        <v>19</v>
      </c>
      <c r="L53" s="74"/>
      <c r="M53" s="52" t="s">
        <v>26</v>
      </c>
      <c r="N53" s="52"/>
    </row>
    <row r="54" spans="1:14" x14ac:dyDescent="0.2">
      <c r="A54" s="53">
        <v>42</v>
      </c>
      <c r="B54" s="46" t="s">
        <v>104</v>
      </c>
      <c r="C54" s="13" t="s">
        <v>248</v>
      </c>
      <c r="D54" s="13" t="s">
        <v>17</v>
      </c>
      <c r="E54" s="13" t="s">
        <v>100</v>
      </c>
      <c r="F54" s="13" t="s">
        <v>32</v>
      </c>
      <c r="G54" s="13"/>
      <c r="H54" s="13" t="s">
        <v>23</v>
      </c>
      <c r="I54" s="54"/>
      <c r="J54" s="50">
        <v>1</v>
      </c>
      <c r="K54" s="55" t="s">
        <v>19</v>
      </c>
      <c r="L54" s="74"/>
      <c r="M54" s="57" t="s">
        <v>26</v>
      </c>
      <c r="N54" s="13" t="s">
        <v>162</v>
      </c>
    </row>
    <row r="55" spans="1:14" x14ac:dyDescent="0.2">
      <c r="A55" s="53">
        <v>43</v>
      </c>
      <c r="B55" s="46" t="s">
        <v>274</v>
      </c>
      <c r="C55" s="13" t="s">
        <v>275</v>
      </c>
      <c r="D55" s="13" t="s">
        <v>17</v>
      </c>
      <c r="E55" s="13" t="s">
        <v>100</v>
      </c>
      <c r="F55" s="13" t="s">
        <v>32</v>
      </c>
      <c r="G55" s="13"/>
      <c r="H55" s="13" t="s">
        <v>23</v>
      </c>
      <c r="I55" s="54">
        <v>45771</v>
      </c>
      <c r="J55" s="50">
        <v>1</v>
      </c>
      <c r="K55" s="55" t="s">
        <v>19</v>
      </c>
      <c r="L55" s="74">
        <v>38126000</v>
      </c>
      <c r="M55" s="57" t="s">
        <v>26</v>
      </c>
      <c r="N55" s="13" t="s">
        <v>138</v>
      </c>
    </row>
    <row r="56" spans="1:14" x14ac:dyDescent="0.2">
      <c r="A56" s="53">
        <v>44</v>
      </c>
      <c r="B56" s="46" t="s">
        <v>274</v>
      </c>
      <c r="C56" s="13" t="s">
        <v>276</v>
      </c>
      <c r="D56" s="13" t="s">
        <v>17</v>
      </c>
      <c r="E56" s="13" t="s">
        <v>100</v>
      </c>
      <c r="F56" s="13" t="s">
        <v>32</v>
      </c>
      <c r="G56" s="13"/>
      <c r="H56" s="13" t="s">
        <v>23</v>
      </c>
      <c r="I56" s="54">
        <v>45771</v>
      </c>
      <c r="J56" s="50">
        <v>1</v>
      </c>
      <c r="K56" s="55" t="s">
        <v>19</v>
      </c>
      <c r="L56" s="74">
        <v>38126000</v>
      </c>
      <c r="M56" s="57" t="s">
        <v>26</v>
      </c>
      <c r="N56" s="13"/>
    </row>
    <row r="57" spans="1:14" x14ac:dyDescent="0.2">
      <c r="A57" s="53">
        <v>45</v>
      </c>
      <c r="B57" s="46" t="s">
        <v>114</v>
      </c>
      <c r="C57" s="13" t="s">
        <v>249</v>
      </c>
      <c r="D57" s="13" t="s">
        <v>17</v>
      </c>
      <c r="E57" s="13" t="s">
        <v>100</v>
      </c>
      <c r="F57" s="13" t="s">
        <v>32</v>
      </c>
      <c r="G57" s="52"/>
      <c r="H57" s="13" t="s">
        <v>23</v>
      </c>
      <c r="I57" s="54"/>
      <c r="J57" s="50">
        <v>1</v>
      </c>
      <c r="K57" s="55" t="s">
        <v>19</v>
      </c>
      <c r="L57" s="74"/>
      <c r="M57" s="52" t="s">
        <v>26</v>
      </c>
      <c r="N57" s="52"/>
    </row>
    <row r="58" spans="1:14" x14ac:dyDescent="0.2">
      <c r="A58" s="53">
        <v>46</v>
      </c>
      <c r="B58" s="46" t="s">
        <v>114</v>
      </c>
      <c r="C58" s="13" t="s">
        <v>250</v>
      </c>
      <c r="D58" s="13" t="s">
        <v>17</v>
      </c>
      <c r="E58" s="13" t="s">
        <v>100</v>
      </c>
      <c r="F58" s="13" t="s">
        <v>32</v>
      </c>
      <c r="G58" s="52"/>
      <c r="H58" s="13" t="s">
        <v>23</v>
      </c>
      <c r="I58" s="54"/>
      <c r="J58" s="50">
        <v>1</v>
      </c>
      <c r="K58" s="55" t="s">
        <v>19</v>
      </c>
      <c r="L58" s="74"/>
      <c r="M58" s="52" t="s">
        <v>26</v>
      </c>
      <c r="N58" s="52"/>
    </row>
    <row r="59" spans="1:14" x14ac:dyDescent="0.2">
      <c r="A59" s="53">
        <v>47</v>
      </c>
      <c r="B59" s="46" t="s">
        <v>280</v>
      </c>
      <c r="C59" s="13" t="s">
        <v>281</v>
      </c>
      <c r="D59" s="13" t="s">
        <v>17</v>
      </c>
      <c r="E59" s="13" t="s">
        <v>100</v>
      </c>
      <c r="F59" s="13" t="s">
        <v>32</v>
      </c>
      <c r="G59" s="52"/>
      <c r="H59" s="13" t="s">
        <v>23</v>
      </c>
      <c r="I59" s="54">
        <v>45771</v>
      </c>
      <c r="J59" s="50">
        <v>1</v>
      </c>
      <c r="K59" s="55" t="s">
        <v>19</v>
      </c>
      <c r="L59" s="74">
        <v>5261300</v>
      </c>
      <c r="M59" s="52" t="s">
        <v>26</v>
      </c>
      <c r="N59" s="52"/>
    </row>
    <row r="60" spans="1:14" x14ac:dyDescent="0.2">
      <c r="A60" s="53">
        <v>48</v>
      </c>
      <c r="B60" s="46" t="s">
        <v>280</v>
      </c>
      <c r="C60" s="13" t="s">
        <v>282</v>
      </c>
      <c r="D60" s="13" t="s">
        <v>17</v>
      </c>
      <c r="E60" s="13" t="s">
        <v>100</v>
      </c>
      <c r="F60" s="13" t="s">
        <v>32</v>
      </c>
      <c r="G60" s="52"/>
      <c r="H60" s="13" t="s">
        <v>23</v>
      </c>
      <c r="I60" s="54">
        <v>45771</v>
      </c>
      <c r="J60" s="50">
        <v>1</v>
      </c>
      <c r="K60" s="55" t="s">
        <v>19</v>
      </c>
      <c r="L60" s="74">
        <v>5261300</v>
      </c>
      <c r="M60" s="52" t="s">
        <v>26</v>
      </c>
      <c r="N60" s="52"/>
    </row>
    <row r="61" spans="1:14" x14ac:dyDescent="0.2">
      <c r="A61" s="53">
        <v>49</v>
      </c>
      <c r="B61" s="46" t="s">
        <v>109</v>
      </c>
      <c r="C61" s="13" t="s">
        <v>251</v>
      </c>
      <c r="D61" s="13" t="s">
        <v>17</v>
      </c>
      <c r="E61" s="13" t="s">
        <v>100</v>
      </c>
      <c r="F61" s="13" t="s">
        <v>141</v>
      </c>
      <c r="G61" s="52"/>
      <c r="H61" s="13" t="s">
        <v>1</v>
      </c>
      <c r="I61" s="54"/>
      <c r="J61" s="50">
        <v>1</v>
      </c>
      <c r="K61" s="55" t="s">
        <v>19</v>
      </c>
      <c r="L61" s="74"/>
      <c r="M61" s="52" t="s">
        <v>26</v>
      </c>
      <c r="N61" s="52"/>
    </row>
    <row r="62" spans="1:14" x14ac:dyDescent="0.2">
      <c r="A62" s="53">
        <v>50</v>
      </c>
      <c r="B62" s="46" t="s">
        <v>121</v>
      </c>
      <c r="C62" s="13" t="s">
        <v>252</v>
      </c>
      <c r="D62" s="13" t="s">
        <v>17</v>
      </c>
      <c r="E62" s="13" t="s">
        <v>100</v>
      </c>
      <c r="F62" s="13"/>
      <c r="G62" s="52"/>
      <c r="H62" s="13" t="s">
        <v>1</v>
      </c>
      <c r="I62" s="56"/>
      <c r="J62" s="50">
        <v>1</v>
      </c>
      <c r="K62" s="55" t="s">
        <v>19</v>
      </c>
      <c r="L62" s="74"/>
      <c r="M62" s="52" t="s">
        <v>26</v>
      </c>
      <c r="N62" s="13"/>
    </row>
    <row r="63" spans="1:14" x14ac:dyDescent="0.2">
      <c r="A63" s="53">
        <v>51</v>
      </c>
      <c r="B63" s="46" t="s">
        <v>174</v>
      </c>
      <c r="C63" s="13" t="s">
        <v>253</v>
      </c>
      <c r="D63" s="13" t="s">
        <v>17</v>
      </c>
      <c r="E63" s="13" t="s">
        <v>100</v>
      </c>
      <c r="F63" s="13" t="s">
        <v>175</v>
      </c>
      <c r="G63" s="13"/>
      <c r="H63" s="13" t="s">
        <v>1</v>
      </c>
      <c r="I63" s="54"/>
      <c r="J63" s="50">
        <v>1</v>
      </c>
      <c r="K63" s="55" t="s">
        <v>19</v>
      </c>
      <c r="L63" s="74"/>
      <c r="M63" s="57" t="s">
        <v>26</v>
      </c>
      <c r="N63" s="13"/>
    </row>
    <row r="64" spans="1:14" x14ac:dyDescent="0.2">
      <c r="A64" s="53">
        <v>52</v>
      </c>
      <c r="B64" s="46" t="s">
        <v>173</v>
      </c>
      <c r="C64" s="13" t="s">
        <v>254</v>
      </c>
      <c r="D64" s="13" t="s">
        <v>17</v>
      </c>
      <c r="E64" s="13" t="s">
        <v>100</v>
      </c>
      <c r="F64" s="13" t="s">
        <v>150</v>
      </c>
      <c r="G64" s="13"/>
      <c r="H64" s="13" t="s">
        <v>1</v>
      </c>
      <c r="I64" s="54"/>
      <c r="J64" s="50">
        <v>1</v>
      </c>
      <c r="K64" s="55" t="s">
        <v>19</v>
      </c>
      <c r="L64" s="74"/>
      <c r="M64" s="57" t="s">
        <v>26</v>
      </c>
      <c r="N64" s="13"/>
    </row>
    <row r="65" spans="1:14" x14ac:dyDescent="0.2">
      <c r="A65" s="53">
        <v>53</v>
      </c>
      <c r="B65" s="46" t="s">
        <v>111</v>
      </c>
      <c r="C65" s="13" t="s">
        <v>255</v>
      </c>
      <c r="D65" s="13" t="s">
        <v>17</v>
      </c>
      <c r="E65" s="13" t="s">
        <v>100</v>
      </c>
      <c r="F65" s="13" t="s">
        <v>141</v>
      </c>
      <c r="G65" s="52"/>
      <c r="H65" s="13" t="s">
        <v>1</v>
      </c>
      <c r="I65" s="54"/>
      <c r="J65" s="50">
        <v>1</v>
      </c>
      <c r="K65" s="55" t="s">
        <v>19</v>
      </c>
      <c r="L65" s="74"/>
      <c r="M65" s="52" t="s">
        <v>26</v>
      </c>
      <c r="N65" s="52"/>
    </row>
    <row r="66" spans="1:14" x14ac:dyDescent="0.2">
      <c r="A66" s="53">
        <v>54</v>
      </c>
      <c r="B66" s="46" t="s">
        <v>111</v>
      </c>
      <c r="C66" s="13" t="s">
        <v>256</v>
      </c>
      <c r="D66" s="13" t="s">
        <v>17</v>
      </c>
      <c r="E66" s="13" t="s">
        <v>100</v>
      </c>
      <c r="F66" s="13" t="s">
        <v>141</v>
      </c>
      <c r="G66" s="52"/>
      <c r="H66" s="13" t="s">
        <v>1</v>
      </c>
      <c r="I66" s="54"/>
      <c r="J66" s="50">
        <v>1</v>
      </c>
      <c r="K66" s="55" t="s">
        <v>19</v>
      </c>
      <c r="L66" s="74"/>
      <c r="M66" s="52" t="s">
        <v>26</v>
      </c>
      <c r="N66" s="52"/>
    </row>
    <row r="67" spans="1:14" x14ac:dyDescent="0.2">
      <c r="A67" s="53">
        <v>55</v>
      </c>
      <c r="B67" s="46" t="s">
        <v>111</v>
      </c>
      <c r="C67" s="13" t="s">
        <v>257</v>
      </c>
      <c r="D67" s="13" t="s">
        <v>17</v>
      </c>
      <c r="E67" s="13" t="s">
        <v>100</v>
      </c>
      <c r="F67" s="13" t="s">
        <v>141</v>
      </c>
      <c r="G67" s="52"/>
      <c r="H67" s="13" t="s">
        <v>23</v>
      </c>
      <c r="I67" s="66"/>
      <c r="J67" s="50">
        <v>1</v>
      </c>
      <c r="K67" s="55" t="s">
        <v>19</v>
      </c>
      <c r="L67" s="74"/>
      <c r="M67" s="52" t="s">
        <v>26</v>
      </c>
      <c r="N67" s="13"/>
    </row>
    <row r="68" spans="1:14" x14ac:dyDescent="0.2">
      <c r="A68" s="53">
        <v>56</v>
      </c>
      <c r="B68" s="13" t="s">
        <v>113</v>
      </c>
      <c r="C68" s="13" t="s">
        <v>258</v>
      </c>
      <c r="D68" s="13" t="s">
        <v>17</v>
      </c>
      <c r="E68" s="13" t="s">
        <v>100</v>
      </c>
      <c r="F68" s="13" t="s">
        <v>149</v>
      </c>
      <c r="G68" s="52"/>
      <c r="H68" s="13" t="s">
        <v>23</v>
      </c>
      <c r="I68" s="54"/>
      <c r="J68" s="50">
        <v>1</v>
      </c>
      <c r="K68" s="55" t="s">
        <v>19</v>
      </c>
      <c r="L68" s="74"/>
      <c r="M68" s="52" t="s">
        <v>26</v>
      </c>
      <c r="N68" s="52"/>
    </row>
    <row r="69" spans="1:14" x14ac:dyDescent="0.2">
      <c r="A69" s="53">
        <v>57</v>
      </c>
      <c r="B69" s="46" t="s">
        <v>166</v>
      </c>
      <c r="C69" s="13" t="s">
        <v>259</v>
      </c>
      <c r="D69" s="13" t="s">
        <v>17</v>
      </c>
      <c r="E69" s="13" t="s">
        <v>100</v>
      </c>
      <c r="F69" s="13" t="s">
        <v>148</v>
      </c>
      <c r="G69" s="52"/>
      <c r="H69" s="13" t="s">
        <v>23</v>
      </c>
      <c r="I69" s="54"/>
      <c r="J69" s="50">
        <v>1</v>
      </c>
      <c r="K69" s="55" t="s">
        <v>19</v>
      </c>
      <c r="L69" s="74"/>
      <c r="M69" s="52" t="s">
        <v>26</v>
      </c>
      <c r="N69" s="52"/>
    </row>
    <row r="70" spans="1:14" x14ac:dyDescent="0.2">
      <c r="A70" s="53">
        <v>58</v>
      </c>
      <c r="B70" s="46" t="s">
        <v>122</v>
      </c>
      <c r="C70" s="13" t="s">
        <v>260</v>
      </c>
      <c r="D70" s="13" t="s">
        <v>17</v>
      </c>
      <c r="E70" s="13" t="s">
        <v>100</v>
      </c>
      <c r="F70" s="13"/>
      <c r="G70" s="52"/>
      <c r="H70" s="13" t="s">
        <v>1</v>
      </c>
      <c r="I70" s="56"/>
      <c r="J70" s="50">
        <v>1</v>
      </c>
      <c r="K70" s="55" t="s">
        <v>19</v>
      </c>
      <c r="L70" s="74"/>
      <c r="M70" s="52" t="s">
        <v>26</v>
      </c>
      <c r="N70" s="13"/>
    </row>
    <row r="71" spans="1:14" x14ac:dyDescent="0.2">
      <c r="A71" s="53">
        <v>59</v>
      </c>
      <c r="B71" s="46" t="s">
        <v>117</v>
      </c>
      <c r="C71" s="13" t="s">
        <v>261</v>
      </c>
      <c r="D71" s="13" t="s">
        <v>17</v>
      </c>
      <c r="E71" s="13" t="s">
        <v>100</v>
      </c>
      <c r="F71" s="13" t="s">
        <v>147</v>
      </c>
      <c r="G71" s="52"/>
      <c r="H71" s="13" t="s">
        <v>23</v>
      </c>
      <c r="I71" s="56"/>
      <c r="J71" s="50">
        <v>1</v>
      </c>
      <c r="K71" s="55" t="s">
        <v>19</v>
      </c>
      <c r="L71" s="74"/>
      <c r="M71" s="52" t="s">
        <v>26</v>
      </c>
      <c r="N71" s="13"/>
    </row>
    <row r="72" spans="1:14" x14ac:dyDescent="0.2">
      <c r="A72" s="53">
        <v>60</v>
      </c>
      <c r="B72" s="46" t="s">
        <v>126</v>
      </c>
      <c r="C72" s="13" t="s">
        <v>262</v>
      </c>
      <c r="D72" s="13" t="s">
        <v>17</v>
      </c>
      <c r="E72" s="13" t="s">
        <v>100</v>
      </c>
      <c r="F72" s="13" t="s">
        <v>142</v>
      </c>
      <c r="G72" s="52"/>
      <c r="H72" s="13" t="s">
        <v>23</v>
      </c>
      <c r="I72" s="56"/>
      <c r="J72" s="50">
        <v>1</v>
      </c>
      <c r="K72" s="55" t="s">
        <v>19</v>
      </c>
      <c r="L72" s="74"/>
      <c r="M72" s="52" t="s">
        <v>26</v>
      </c>
      <c r="N72" s="13"/>
    </row>
    <row r="73" spans="1:14" x14ac:dyDescent="0.2">
      <c r="A73" s="53">
        <v>61</v>
      </c>
      <c r="B73" s="46" t="s">
        <v>126</v>
      </c>
      <c r="C73" s="13" t="s">
        <v>263</v>
      </c>
      <c r="D73" s="13" t="s">
        <v>17</v>
      </c>
      <c r="E73" s="13" t="s">
        <v>100</v>
      </c>
      <c r="F73" s="13" t="s">
        <v>142</v>
      </c>
      <c r="G73" s="52"/>
      <c r="H73" s="13" t="s">
        <v>23</v>
      </c>
      <c r="I73" s="56"/>
      <c r="J73" s="50">
        <v>1</v>
      </c>
      <c r="K73" s="55" t="s">
        <v>19</v>
      </c>
      <c r="L73" s="74"/>
      <c r="M73" s="52" t="s">
        <v>26</v>
      </c>
      <c r="N73" s="13"/>
    </row>
    <row r="74" spans="1:14" x14ac:dyDescent="0.2">
      <c r="A74" s="53">
        <v>62</v>
      </c>
      <c r="B74" s="46" t="s">
        <v>110</v>
      </c>
      <c r="C74" s="13" t="s">
        <v>264</v>
      </c>
      <c r="D74" s="13" t="s">
        <v>17</v>
      </c>
      <c r="E74" s="13" t="s">
        <v>100</v>
      </c>
      <c r="F74" s="13" t="s">
        <v>141</v>
      </c>
      <c r="G74" s="52"/>
      <c r="H74" s="13" t="s">
        <v>1</v>
      </c>
      <c r="I74" s="54"/>
      <c r="J74" s="50">
        <v>1</v>
      </c>
      <c r="K74" s="55" t="s">
        <v>19</v>
      </c>
      <c r="L74" s="74"/>
      <c r="M74" s="52" t="s">
        <v>26</v>
      </c>
      <c r="N74" s="52"/>
    </row>
    <row r="75" spans="1:14" x14ac:dyDescent="0.2">
      <c r="A75" s="53">
        <v>63</v>
      </c>
      <c r="B75" s="46" t="s">
        <v>165</v>
      </c>
      <c r="C75" s="13" t="s">
        <v>265</v>
      </c>
      <c r="D75" s="13" t="s">
        <v>17</v>
      </c>
      <c r="E75" s="13" t="s">
        <v>100</v>
      </c>
      <c r="F75" s="13" t="s">
        <v>133</v>
      </c>
      <c r="G75" s="52"/>
      <c r="H75" s="13" t="s">
        <v>1</v>
      </c>
      <c r="I75" s="56"/>
      <c r="J75" s="50"/>
      <c r="K75" s="55"/>
      <c r="L75" s="74"/>
      <c r="M75" s="52" t="s">
        <v>26</v>
      </c>
      <c r="N75" s="13"/>
    </row>
    <row r="76" spans="1:14" ht="31.5" x14ac:dyDescent="0.2">
      <c r="A76" s="53">
        <v>64</v>
      </c>
      <c r="B76" s="46" t="s">
        <v>269</v>
      </c>
      <c r="C76" s="13" t="s">
        <v>268</v>
      </c>
      <c r="D76" s="13" t="s">
        <v>17</v>
      </c>
      <c r="E76" s="13" t="s">
        <v>100</v>
      </c>
      <c r="F76" s="13" t="s">
        <v>143</v>
      </c>
      <c r="G76" s="67" t="s">
        <v>271</v>
      </c>
      <c r="H76" s="13" t="s">
        <v>23</v>
      </c>
      <c r="I76" s="56">
        <v>45577</v>
      </c>
      <c r="J76" s="50">
        <v>1</v>
      </c>
      <c r="K76" s="55" t="s">
        <v>19</v>
      </c>
      <c r="L76" s="74"/>
      <c r="M76" s="52" t="s">
        <v>26</v>
      </c>
      <c r="N76" s="13" t="s">
        <v>162</v>
      </c>
    </row>
    <row r="77" spans="1:14" x14ac:dyDescent="0.2">
      <c r="A77" s="53">
        <v>65</v>
      </c>
      <c r="B77" s="46" t="s">
        <v>283</v>
      </c>
      <c r="C77" s="13" t="s">
        <v>284</v>
      </c>
      <c r="D77" s="13" t="s">
        <v>17</v>
      </c>
      <c r="E77" s="13" t="s">
        <v>100</v>
      </c>
      <c r="F77" s="13" t="s">
        <v>286</v>
      </c>
      <c r="G77" s="67"/>
      <c r="H77" s="13" t="s">
        <v>23</v>
      </c>
      <c r="I77" s="56">
        <v>45771</v>
      </c>
      <c r="J77" s="50">
        <v>1</v>
      </c>
      <c r="K77" s="55" t="s">
        <v>19</v>
      </c>
      <c r="L77" s="74">
        <v>7200001</v>
      </c>
      <c r="M77" s="52" t="s">
        <v>26</v>
      </c>
      <c r="N77" s="13"/>
    </row>
    <row r="78" spans="1:14" x14ac:dyDescent="0.2">
      <c r="A78" s="53">
        <v>66</v>
      </c>
      <c r="B78" s="46" t="s">
        <v>283</v>
      </c>
      <c r="C78" s="13" t="s">
        <v>285</v>
      </c>
      <c r="D78" s="13" t="s">
        <v>17</v>
      </c>
      <c r="E78" s="13" t="s">
        <v>100</v>
      </c>
      <c r="F78" s="13" t="s">
        <v>286</v>
      </c>
      <c r="G78" s="67"/>
      <c r="H78" s="13" t="s">
        <v>23</v>
      </c>
      <c r="I78" s="56">
        <v>45771</v>
      </c>
      <c r="J78" s="50">
        <v>1</v>
      </c>
      <c r="K78" s="55" t="s">
        <v>19</v>
      </c>
      <c r="L78" s="74">
        <v>7200001</v>
      </c>
      <c r="M78" s="52" t="s">
        <v>26</v>
      </c>
      <c r="N78" s="13"/>
    </row>
    <row r="79" spans="1:14" x14ac:dyDescent="0.2">
      <c r="A79" s="53">
        <v>67</v>
      </c>
      <c r="B79" s="46" t="s">
        <v>289</v>
      </c>
      <c r="C79" s="13" t="s">
        <v>287</v>
      </c>
      <c r="D79" s="13" t="s">
        <v>17</v>
      </c>
      <c r="E79" s="13" t="s">
        <v>100</v>
      </c>
      <c r="F79" s="13" t="s">
        <v>290</v>
      </c>
      <c r="G79" s="67"/>
      <c r="H79" s="13" t="s">
        <v>23</v>
      </c>
      <c r="I79" s="56">
        <v>45771</v>
      </c>
      <c r="J79" s="50">
        <v>1</v>
      </c>
      <c r="K79" s="55" t="s">
        <v>19</v>
      </c>
      <c r="L79" s="74">
        <v>780000</v>
      </c>
      <c r="M79" s="52" t="s">
        <v>26</v>
      </c>
      <c r="N79" s="13"/>
    </row>
    <row r="80" spans="1:14" x14ac:dyDescent="0.2">
      <c r="A80" s="53">
        <v>68</v>
      </c>
      <c r="B80" s="46" t="s">
        <v>288</v>
      </c>
      <c r="C80" s="13" t="s">
        <v>292</v>
      </c>
      <c r="D80" s="13" t="s">
        <v>17</v>
      </c>
      <c r="E80" s="13" t="s">
        <v>100</v>
      </c>
      <c r="F80" s="13" t="s">
        <v>291</v>
      </c>
      <c r="G80" s="67"/>
      <c r="H80" s="13" t="s">
        <v>23</v>
      </c>
      <c r="I80" s="56">
        <v>45771</v>
      </c>
      <c r="J80" s="50">
        <v>1</v>
      </c>
      <c r="K80" s="55" t="s">
        <v>19</v>
      </c>
      <c r="L80" s="74">
        <v>2821500</v>
      </c>
      <c r="M80" s="52" t="s">
        <v>26</v>
      </c>
      <c r="N80" s="13"/>
    </row>
    <row r="81" spans="1:14" x14ac:dyDescent="0.2">
      <c r="A81" s="53">
        <v>69</v>
      </c>
      <c r="B81" s="46" t="s">
        <v>299</v>
      </c>
      <c r="C81" s="13" t="s">
        <v>293</v>
      </c>
      <c r="D81" s="13" t="s">
        <v>17</v>
      </c>
      <c r="E81" s="13" t="s">
        <v>100</v>
      </c>
      <c r="F81" s="13" t="s">
        <v>291</v>
      </c>
      <c r="G81" s="67"/>
      <c r="H81" s="13" t="s">
        <v>23</v>
      </c>
      <c r="I81" s="56">
        <v>45771</v>
      </c>
      <c r="J81" s="50">
        <v>1</v>
      </c>
      <c r="K81" s="55" t="s">
        <v>19</v>
      </c>
      <c r="L81" s="74">
        <v>8197200</v>
      </c>
      <c r="M81" s="52" t="s">
        <v>26</v>
      </c>
      <c r="N81" s="13"/>
    </row>
    <row r="82" spans="1:14" x14ac:dyDescent="0.2">
      <c r="A82" s="53">
        <v>70</v>
      </c>
      <c r="B82" s="46" t="s">
        <v>299</v>
      </c>
      <c r="C82" s="13" t="s">
        <v>294</v>
      </c>
      <c r="D82" s="13" t="s">
        <v>17</v>
      </c>
      <c r="E82" s="13" t="s">
        <v>100</v>
      </c>
      <c r="F82" s="13" t="s">
        <v>291</v>
      </c>
      <c r="G82" s="67"/>
      <c r="H82" s="13" t="s">
        <v>23</v>
      </c>
      <c r="I82" s="56">
        <v>45771</v>
      </c>
      <c r="J82" s="50">
        <v>1</v>
      </c>
      <c r="K82" s="55" t="s">
        <v>19</v>
      </c>
      <c r="L82" s="74">
        <v>8197200</v>
      </c>
      <c r="M82" s="52" t="s">
        <v>26</v>
      </c>
      <c r="N82" s="13"/>
    </row>
    <row r="83" spans="1:14" x14ac:dyDescent="0.2">
      <c r="A83" s="53">
        <v>71</v>
      </c>
      <c r="B83" s="46" t="s">
        <v>299</v>
      </c>
      <c r="C83" s="13" t="s">
        <v>295</v>
      </c>
      <c r="D83" s="13" t="s">
        <v>17</v>
      </c>
      <c r="E83" s="13" t="s">
        <v>100</v>
      </c>
      <c r="F83" s="13" t="s">
        <v>291</v>
      </c>
      <c r="G83" s="67"/>
      <c r="H83" s="13" t="s">
        <v>23</v>
      </c>
      <c r="I83" s="56">
        <v>45771</v>
      </c>
      <c r="J83" s="50">
        <v>1</v>
      </c>
      <c r="K83" s="55" t="s">
        <v>19</v>
      </c>
      <c r="L83" s="74">
        <v>2970000</v>
      </c>
      <c r="M83" s="52" t="s">
        <v>26</v>
      </c>
      <c r="N83" s="13"/>
    </row>
    <row r="84" spans="1:14" x14ac:dyDescent="0.2">
      <c r="A84" s="53">
        <v>72</v>
      </c>
      <c r="B84" s="46" t="s">
        <v>299</v>
      </c>
      <c r="C84" s="13" t="s">
        <v>296</v>
      </c>
      <c r="D84" s="13" t="s">
        <v>17</v>
      </c>
      <c r="E84" s="13" t="s">
        <v>100</v>
      </c>
      <c r="F84" s="13" t="s">
        <v>291</v>
      </c>
      <c r="G84" s="67"/>
      <c r="H84" s="13" t="s">
        <v>23</v>
      </c>
      <c r="I84" s="56">
        <v>45771</v>
      </c>
      <c r="J84" s="50">
        <v>1</v>
      </c>
      <c r="K84" s="55" t="s">
        <v>19</v>
      </c>
      <c r="L84" s="74">
        <v>2970000</v>
      </c>
      <c r="M84" s="52" t="s">
        <v>26</v>
      </c>
      <c r="N84" s="13"/>
    </row>
    <row r="85" spans="1:14" x14ac:dyDescent="0.2">
      <c r="A85" s="53">
        <v>73</v>
      </c>
      <c r="B85" s="46" t="s">
        <v>299</v>
      </c>
      <c r="C85" s="13" t="s">
        <v>297</v>
      </c>
      <c r="D85" s="13" t="s">
        <v>17</v>
      </c>
      <c r="E85" s="13" t="s">
        <v>100</v>
      </c>
      <c r="F85" s="13" t="s">
        <v>291</v>
      </c>
      <c r="G85" s="67"/>
      <c r="H85" s="13" t="s">
        <v>23</v>
      </c>
      <c r="I85" s="56">
        <v>45771</v>
      </c>
      <c r="J85" s="50">
        <v>1</v>
      </c>
      <c r="K85" s="55" t="s">
        <v>19</v>
      </c>
      <c r="L85" s="74">
        <v>2970000</v>
      </c>
      <c r="M85" s="52" t="s">
        <v>26</v>
      </c>
      <c r="N85" s="13"/>
    </row>
    <row r="86" spans="1:14" x14ac:dyDescent="0.2">
      <c r="A86" s="53">
        <v>74</v>
      </c>
      <c r="B86" s="46" t="s">
        <v>299</v>
      </c>
      <c r="C86" s="13" t="s">
        <v>298</v>
      </c>
      <c r="D86" s="13" t="s">
        <v>17</v>
      </c>
      <c r="E86" s="13" t="s">
        <v>100</v>
      </c>
      <c r="F86" s="13" t="s">
        <v>291</v>
      </c>
      <c r="G86" s="67"/>
      <c r="H86" s="13" t="s">
        <v>23</v>
      </c>
      <c r="I86" s="56">
        <v>45771</v>
      </c>
      <c r="J86" s="50">
        <v>1</v>
      </c>
      <c r="K86" s="55" t="s">
        <v>19</v>
      </c>
      <c r="L86" s="74">
        <v>2970000</v>
      </c>
      <c r="M86" s="52" t="s">
        <v>26</v>
      </c>
      <c r="N86" s="13"/>
    </row>
    <row r="87" spans="1:14" x14ac:dyDescent="0.2">
      <c r="A87" s="53">
        <v>75</v>
      </c>
      <c r="B87" s="46" t="s">
        <v>300</v>
      </c>
      <c r="C87" s="13" t="s">
        <v>301</v>
      </c>
      <c r="D87" s="13" t="s">
        <v>17</v>
      </c>
      <c r="E87" s="13" t="s">
        <v>100</v>
      </c>
      <c r="F87" s="13" t="s">
        <v>291</v>
      </c>
      <c r="G87" s="67"/>
      <c r="H87" s="13" t="s">
        <v>23</v>
      </c>
      <c r="I87" s="56">
        <v>45771</v>
      </c>
      <c r="J87" s="50">
        <v>1</v>
      </c>
      <c r="K87" s="55" t="s">
        <v>19</v>
      </c>
      <c r="L87" s="74">
        <v>1725900</v>
      </c>
      <c r="M87" s="52" t="s">
        <v>26</v>
      </c>
      <c r="N87" s="13"/>
    </row>
    <row r="88" spans="1:14" x14ac:dyDescent="0.2">
      <c r="A88" s="53">
        <v>76</v>
      </c>
      <c r="B88" s="46" t="s">
        <v>300</v>
      </c>
      <c r="C88" s="13" t="s">
        <v>302</v>
      </c>
      <c r="D88" s="13" t="s">
        <v>17</v>
      </c>
      <c r="E88" s="13" t="s">
        <v>100</v>
      </c>
      <c r="F88" s="13" t="s">
        <v>291</v>
      </c>
      <c r="G88" s="67"/>
      <c r="H88" s="13" t="s">
        <v>23</v>
      </c>
      <c r="I88" s="56">
        <v>45771</v>
      </c>
      <c r="J88" s="50">
        <v>1</v>
      </c>
      <c r="K88" s="55" t="s">
        <v>19</v>
      </c>
      <c r="L88" s="74">
        <v>1725900</v>
      </c>
      <c r="M88" s="52" t="s">
        <v>26</v>
      </c>
      <c r="N88" s="13"/>
    </row>
    <row r="89" spans="1:14" x14ac:dyDescent="0.2">
      <c r="A89" s="53">
        <v>77</v>
      </c>
      <c r="B89" s="46" t="s">
        <v>300</v>
      </c>
      <c r="C89" s="13" t="s">
        <v>303</v>
      </c>
      <c r="D89" s="13" t="s">
        <v>17</v>
      </c>
      <c r="E89" s="13" t="s">
        <v>100</v>
      </c>
      <c r="F89" s="13" t="s">
        <v>291</v>
      </c>
      <c r="G89" s="67"/>
      <c r="H89" s="13" t="s">
        <v>23</v>
      </c>
      <c r="I89" s="56">
        <v>45771</v>
      </c>
      <c r="J89" s="50">
        <v>1</v>
      </c>
      <c r="K89" s="55" t="s">
        <v>19</v>
      </c>
      <c r="L89" s="74">
        <v>1725900</v>
      </c>
      <c r="M89" s="52" t="s">
        <v>26</v>
      </c>
      <c r="N89" s="13"/>
    </row>
    <row r="90" spans="1:14" x14ac:dyDescent="0.2">
      <c r="A90" s="53">
        <v>78</v>
      </c>
      <c r="B90" s="46" t="s">
        <v>300</v>
      </c>
      <c r="C90" s="13" t="s">
        <v>304</v>
      </c>
      <c r="D90" s="13" t="s">
        <v>17</v>
      </c>
      <c r="E90" s="13" t="s">
        <v>100</v>
      </c>
      <c r="F90" s="13" t="s">
        <v>291</v>
      </c>
      <c r="G90" s="67"/>
      <c r="H90" s="13" t="s">
        <v>23</v>
      </c>
      <c r="I90" s="56">
        <v>45771</v>
      </c>
      <c r="J90" s="50">
        <v>1</v>
      </c>
      <c r="K90" s="55" t="s">
        <v>19</v>
      </c>
      <c r="L90" s="74">
        <v>1725900</v>
      </c>
      <c r="M90" s="52" t="s">
        <v>26</v>
      </c>
      <c r="N90" s="13"/>
    </row>
    <row r="91" spans="1:14" x14ac:dyDescent="0.2">
      <c r="A91" s="53">
        <v>79</v>
      </c>
      <c r="B91" s="46" t="s">
        <v>300</v>
      </c>
      <c r="C91" s="13" t="s">
        <v>305</v>
      </c>
      <c r="D91" s="13" t="s">
        <v>17</v>
      </c>
      <c r="E91" s="13" t="s">
        <v>100</v>
      </c>
      <c r="F91" s="13" t="s">
        <v>291</v>
      </c>
      <c r="G91" s="67"/>
      <c r="H91" s="13" t="s">
        <v>23</v>
      </c>
      <c r="I91" s="56">
        <v>45771</v>
      </c>
      <c r="J91" s="50">
        <v>1</v>
      </c>
      <c r="K91" s="55" t="s">
        <v>19</v>
      </c>
      <c r="L91" s="74">
        <v>1725900</v>
      </c>
      <c r="M91" s="52" t="s">
        <v>26</v>
      </c>
      <c r="N91" s="13"/>
    </row>
    <row r="92" spans="1:14" x14ac:dyDescent="0.2">
      <c r="A92" s="53">
        <v>80</v>
      </c>
      <c r="B92" s="46" t="s">
        <v>300</v>
      </c>
      <c r="C92" s="13" t="s">
        <v>306</v>
      </c>
      <c r="D92" s="13" t="s">
        <v>17</v>
      </c>
      <c r="E92" s="13" t="s">
        <v>100</v>
      </c>
      <c r="F92" s="13" t="s">
        <v>291</v>
      </c>
      <c r="G92" s="67"/>
      <c r="H92" s="13" t="s">
        <v>23</v>
      </c>
      <c r="I92" s="56">
        <v>45771</v>
      </c>
      <c r="J92" s="50">
        <v>1</v>
      </c>
      <c r="K92" s="55" t="s">
        <v>19</v>
      </c>
      <c r="L92" s="74">
        <v>1725900</v>
      </c>
      <c r="M92" s="52" t="s">
        <v>26</v>
      </c>
      <c r="N92" s="13"/>
    </row>
    <row r="93" spans="1:14" x14ac:dyDescent="0.2">
      <c r="A93" s="68" t="s">
        <v>20</v>
      </c>
      <c r="B93" s="49" t="s">
        <v>168</v>
      </c>
      <c r="C93" s="13"/>
      <c r="D93" s="13"/>
      <c r="E93" s="13"/>
      <c r="F93" s="13"/>
      <c r="G93" s="52"/>
      <c r="H93" s="13"/>
      <c r="I93" s="56"/>
      <c r="J93" s="50"/>
      <c r="K93" s="55"/>
      <c r="L93" s="74"/>
      <c r="M93" s="57"/>
      <c r="N93" s="13"/>
    </row>
    <row r="94" spans="1:14" x14ac:dyDescent="0.2">
      <c r="A94" s="52">
        <v>1</v>
      </c>
      <c r="B94" s="46" t="s">
        <v>169</v>
      </c>
      <c r="C94" s="13"/>
      <c r="D94" s="13" t="s">
        <v>170</v>
      </c>
      <c r="E94" s="13" t="s">
        <v>100</v>
      </c>
      <c r="F94" s="13" t="s">
        <v>171</v>
      </c>
      <c r="G94" s="52"/>
      <c r="H94" s="13" t="s">
        <v>172</v>
      </c>
      <c r="I94" s="56"/>
      <c r="J94" s="50">
        <v>1</v>
      </c>
      <c r="K94" s="55" t="s">
        <v>134</v>
      </c>
      <c r="L94" s="74"/>
      <c r="M94" s="57" t="s">
        <v>26</v>
      </c>
      <c r="N94" s="13"/>
    </row>
    <row r="95" spans="1:14" s="37" customFormat="1" x14ac:dyDescent="0.2">
      <c r="A95" s="68" t="s">
        <v>167</v>
      </c>
      <c r="B95" s="49" t="s">
        <v>154</v>
      </c>
      <c r="C95" s="13"/>
      <c r="D95" s="69"/>
      <c r="E95" s="69"/>
      <c r="F95" s="69"/>
      <c r="G95" s="68"/>
      <c r="H95" s="69"/>
      <c r="I95" s="70"/>
      <c r="J95" s="48"/>
      <c r="K95" s="71"/>
      <c r="L95" s="76"/>
      <c r="M95" s="72"/>
      <c r="N95" s="69"/>
    </row>
    <row r="96" spans="1:14" x14ac:dyDescent="0.2">
      <c r="A96" s="52">
        <v>1</v>
      </c>
      <c r="B96" s="46" t="s">
        <v>152</v>
      </c>
      <c r="C96" s="13" t="s">
        <v>153</v>
      </c>
      <c r="D96" s="13" t="s">
        <v>154</v>
      </c>
      <c r="E96" s="13" t="s">
        <v>100</v>
      </c>
      <c r="F96" s="13" t="s">
        <v>155</v>
      </c>
      <c r="G96" s="52"/>
      <c r="H96" s="13" t="s">
        <v>23</v>
      </c>
      <c r="I96" s="56"/>
      <c r="J96" s="50">
        <v>1</v>
      </c>
      <c r="K96" s="55" t="s">
        <v>19</v>
      </c>
      <c r="L96" s="74"/>
      <c r="M96" s="57" t="s">
        <v>26</v>
      </c>
      <c r="N96" s="13"/>
    </row>
    <row r="97" spans="2:14" x14ac:dyDescent="0.2">
      <c r="B97" s="43" t="s">
        <v>207</v>
      </c>
      <c r="E97" s="2"/>
      <c r="F97" s="38"/>
      <c r="G97" s="38"/>
      <c r="H97" s="2"/>
      <c r="I97" s="2"/>
      <c r="J97" s="2"/>
      <c r="K97" s="2"/>
      <c r="L97" s="2"/>
      <c r="N97" s="2"/>
    </row>
    <row r="98" spans="2:14" x14ac:dyDescent="0.2">
      <c r="B98" s="43" t="s">
        <v>34</v>
      </c>
      <c r="E98" s="2"/>
      <c r="F98" s="2"/>
      <c r="G98" s="2"/>
      <c r="H98" s="2"/>
      <c r="I98" s="2"/>
      <c r="J98" s="2"/>
      <c r="K98" s="2"/>
      <c r="L98" s="2"/>
      <c r="N98" s="2"/>
    </row>
    <row r="99" spans="2:14" x14ac:dyDescent="0.2">
      <c r="B99" s="43"/>
      <c r="E99" s="2"/>
      <c r="F99" s="2"/>
      <c r="G99" s="2"/>
      <c r="H99" s="2"/>
      <c r="I99" s="2"/>
      <c r="J99" s="2"/>
      <c r="K99" s="2"/>
      <c r="L99" s="2"/>
      <c r="N99" s="2"/>
    </row>
    <row r="100" spans="2:14" x14ac:dyDescent="0.2">
      <c r="B100" s="43"/>
      <c r="E100" s="2"/>
      <c r="F100" s="2"/>
      <c r="G100" s="2"/>
      <c r="H100" s="2"/>
      <c r="I100" s="2"/>
      <c r="J100" s="2"/>
      <c r="K100" s="2"/>
      <c r="L100" s="2"/>
      <c r="N100" s="2"/>
    </row>
    <row r="101" spans="2:14" x14ac:dyDescent="0.2">
      <c r="B101" s="39" t="s">
        <v>21</v>
      </c>
      <c r="D101" s="31" t="s">
        <v>29</v>
      </c>
      <c r="E101" s="38"/>
      <c r="H101" s="31" t="s">
        <v>29</v>
      </c>
      <c r="J101" s="78" t="s">
        <v>29</v>
      </c>
      <c r="K101" s="78"/>
      <c r="M101" s="31" t="s">
        <v>33</v>
      </c>
      <c r="N101" s="5"/>
    </row>
    <row r="102" spans="2:14" ht="31.5" customHeight="1" x14ac:dyDescent="0.2">
      <c r="B102" s="40" t="s">
        <v>22</v>
      </c>
      <c r="D102" s="40" t="s">
        <v>22</v>
      </c>
      <c r="E102" s="38"/>
      <c r="H102" s="40" t="s">
        <v>22</v>
      </c>
      <c r="J102" s="79" t="s">
        <v>22</v>
      </c>
      <c r="K102" s="79"/>
      <c r="M102" s="41" t="s">
        <v>22</v>
      </c>
      <c r="N102" s="5"/>
    </row>
    <row r="103" spans="2:14" x14ac:dyDescent="0.2">
      <c r="B103" s="39"/>
      <c r="D103" s="38"/>
      <c r="E103" s="38"/>
      <c r="H103" s="38"/>
      <c r="J103" s="42"/>
      <c r="K103" s="6"/>
      <c r="M103" s="5"/>
      <c r="N103" s="5"/>
    </row>
    <row r="104" spans="2:14" x14ac:dyDescent="0.2">
      <c r="B104" s="39"/>
      <c r="D104" s="38"/>
      <c r="E104" s="38"/>
      <c r="H104" s="38"/>
      <c r="J104" s="42"/>
      <c r="K104" s="6"/>
      <c r="M104" s="5"/>
      <c r="N104" s="5"/>
    </row>
    <row r="105" spans="2:14" x14ac:dyDescent="0.2">
      <c r="B105" s="39"/>
      <c r="D105" s="38"/>
      <c r="E105" s="38"/>
      <c r="H105" s="38"/>
      <c r="J105" s="42"/>
      <c r="K105" s="6"/>
      <c r="M105" s="5"/>
      <c r="N105" s="5"/>
    </row>
    <row r="106" spans="2:14" x14ac:dyDescent="0.2">
      <c r="B106" s="39" t="s">
        <v>99</v>
      </c>
      <c r="D106" s="45" t="s">
        <v>270</v>
      </c>
      <c r="E106" s="44"/>
      <c r="H106" s="45" t="s">
        <v>98</v>
      </c>
      <c r="J106" s="78" t="s">
        <v>24</v>
      </c>
      <c r="K106" s="78"/>
      <c r="M106" s="31" t="s">
        <v>272</v>
      </c>
      <c r="N106" s="39"/>
    </row>
  </sheetData>
  <sortState xmlns:xlrd2="http://schemas.microsoft.com/office/spreadsheetml/2017/richdata2" ref="B13:N75">
    <sortCondition ref="B13:B75"/>
  </sortState>
  <mergeCells count="7">
    <mergeCell ref="A2:C2"/>
    <mergeCell ref="J101:K101"/>
    <mergeCell ref="J102:K102"/>
    <mergeCell ref="J106:K106"/>
    <mergeCell ref="A6:N6"/>
    <mergeCell ref="A7:N7"/>
    <mergeCell ref="A3:C3"/>
  </mergeCells>
  <phoneticPr fontId="8" type="noConversion"/>
  <conditionalFormatting sqref="M1">
    <cfRule type="expression" dxfId="29" priority="37">
      <formula>$K12="Hỏng"</formula>
    </cfRule>
  </conditionalFormatting>
  <conditionalFormatting sqref="M2:M3 M9:M10 M12 M14 M34">
    <cfRule type="expression" dxfId="28" priority="48">
      <formula>#REF!="Hỏng"</formula>
    </cfRule>
  </conditionalFormatting>
  <conditionalFormatting sqref="M4:M8 M93">
    <cfRule type="expression" dxfId="27" priority="21">
      <formula>$K13="Hỏng"</formula>
    </cfRule>
  </conditionalFormatting>
  <conditionalFormatting sqref="M11">
    <cfRule type="expression" dxfId="26" priority="58">
      <formula>$K18="Hỏng"</formula>
    </cfRule>
  </conditionalFormatting>
  <conditionalFormatting sqref="M13">
    <cfRule type="expression" dxfId="25" priority="61">
      <formula>$K19="Hỏng"</formula>
    </cfRule>
  </conditionalFormatting>
  <conditionalFormatting sqref="M13:M74">
    <cfRule type="expression" dxfId="24" priority="2">
      <formula>M13="Hỏng"</formula>
    </cfRule>
  </conditionalFormatting>
  <conditionalFormatting sqref="M17">
    <cfRule type="expression" dxfId="23" priority="67">
      <formula>$K22="Hỏng"</formula>
    </cfRule>
  </conditionalFormatting>
  <conditionalFormatting sqref="M18">
    <cfRule type="expression" dxfId="22" priority="7">
      <formula>$K29="Hỏng"</formula>
    </cfRule>
  </conditionalFormatting>
  <conditionalFormatting sqref="M19 M62:M72">
    <cfRule type="expression" dxfId="21" priority="8">
      <formula>#REF!="Hỏng"</formula>
    </cfRule>
  </conditionalFormatting>
  <conditionalFormatting sqref="M22:M26">
    <cfRule type="expression" dxfId="20" priority="13">
      <formula>$K36="Hỏng"</formula>
    </cfRule>
  </conditionalFormatting>
  <conditionalFormatting sqref="M44:M55">
    <cfRule type="expression" dxfId="19" priority="11">
      <formula>$K65="Hỏng"</formula>
    </cfRule>
  </conditionalFormatting>
  <conditionalFormatting sqref="M29:M32">
    <cfRule type="expression" dxfId="18" priority="18">
      <formula>$K49="Hỏng"</formula>
    </cfRule>
  </conditionalFormatting>
  <conditionalFormatting sqref="M33">
    <cfRule type="expression" dxfId="17" priority="9">
      <formula>$K54="Hỏng"</formula>
    </cfRule>
  </conditionalFormatting>
  <conditionalFormatting sqref="M97:M100">
    <cfRule type="expression" dxfId="16" priority="23">
      <formula>$K116="Hỏng"</formula>
    </cfRule>
  </conditionalFormatting>
  <conditionalFormatting sqref="M73:M74">
    <cfRule type="expression" dxfId="15" priority="24">
      <formula>$K97="Hỏng"</formula>
    </cfRule>
  </conditionalFormatting>
  <conditionalFormatting sqref="M75:M92">
    <cfRule type="expression" dxfId="14" priority="36">
      <formula>$K101="Hỏng"</formula>
    </cfRule>
  </conditionalFormatting>
  <conditionalFormatting sqref="M94">
    <cfRule type="expression" dxfId="13" priority="26">
      <formula>#REF!="Hỏng"</formula>
    </cfRule>
  </conditionalFormatting>
  <conditionalFormatting sqref="M95:M96">
    <cfRule type="expression" dxfId="12" priority="30">
      <formula>$K103="Hỏng"</formula>
    </cfRule>
  </conditionalFormatting>
  <conditionalFormatting sqref="M107:M1048545">
    <cfRule type="expression" dxfId="11" priority="3">
      <formula>$K125="Hỏng"</formula>
    </cfRule>
  </conditionalFormatting>
  <conditionalFormatting sqref="M1048546:M1048564">
    <cfRule type="expression" dxfId="10" priority="50">
      <formula>$K1="Hỏng"</formula>
    </cfRule>
  </conditionalFormatting>
  <conditionalFormatting sqref="M37:M43">
    <cfRule type="expression" dxfId="9" priority="73">
      <formula>$K61="Hỏng"</formula>
    </cfRule>
  </conditionalFormatting>
  <conditionalFormatting sqref="M35:M36 M1048575:M1048576">
    <cfRule type="expression" dxfId="8" priority="74">
      <formula>$K57="Hỏng"</formula>
    </cfRule>
  </conditionalFormatting>
  <conditionalFormatting sqref="M27:M28">
    <cfRule type="expression" dxfId="7" priority="75">
      <formula>$K44="Hỏng"</formula>
    </cfRule>
  </conditionalFormatting>
  <conditionalFormatting sqref="A12:N96">
    <cfRule type="expression" dxfId="6" priority="1">
      <formula>CELL("row")=ROW()</formula>
    </cfRule>
  </conditionalFormatting>
  <conditionalFormatting sqref="M20:M21">
    <cfRule type="expression" dxfId="5" priority="78">
      <formula>$K35="Hỏng"</formula>
    </cfRule>
  </conditionalFormatting>
  <conditionalFormatting sqref="M56:M60">
    <cfRule type="expression" dxfId="4" priority="82">
      <formula>$K93="Hỏng"</formula>
    </cfRule>
  </conditionalFormatting>
  <conditionalFormatting sqref="M61">
    <cfRule type="expression" dxfId="3" priority="83">
      <formula>$K96="Hỏng"</formula>
    </cfRule>
  </conditionalFormatting>
  <conditionalFormatting sqref="M15">
    <cfRule type="expression" dxfId="2" priority="87">
      <formula>#REF!="Hỏng"</formula>
    </cfRule>
  </conditionalFormatting>
  <conditionalFormatting sqref="M16">
    <cfRule type="expression" dxfId="1" priority="88">
      <formula>$K20="Hỏng"</formula>
    </cfRule>
  </conditionalFormatting>
  <conditionalFormatting sqref="M1048565:M1048574">
    <cfRule type="expression" dxfId="0" priority="93">
      <formula>$K12="Hỏng"</formula>
    </cfRule>
  </conditionalFormatting>
  <printOptions horizontalCentered="1"/>
  <pageMargins left="0.25" right="0.25" top="0.5" bottom="0.5" header="0.3" footer="0.3"/>
  <pageSetup paperSize="9" scale="62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EAB6F-D0F1-4564-B697-E793BC77DF0D}">
  <sheetPr codeName="Sheet2"/>
  <dimension ref="A1:H89"/>
  <sheetViews>
    <sheetView showGridLines="0" zoomScaleNormal="100" workbookViewId="0"/>
  </sheetViews>
  <sheetFormatPr defaultRowHeight="12.75" x14ac:dyDescent="0.2"/>
  <cols>
    <col min="1" max="1" width="5.28515625" style="23" customWidth="1"/>
    <col min="2" max="2" width="32.5703125" style="23" bestFit="1" customWidth="1"/>
    <col min="3" max="3" width="17.85546875" style="23" bestFit="1" customWidth="1"/>
    <col min="4" max="4" width="12.28515625" style="23" bestFit="1" customWidth="1"/>
    <col min="5" max="5" width="7" style="23" customWidth="1"/>
    <col min="6" max="7" width="9.28515625" style="23" customWidth="1"/>
    <col min="8" max="8" width="10.7109375" style="23" bestFit="1" customWidth="1"/>
    <col min="9" max="16384" width="9.140625" style="23"/>
  </cols>
  <sheetData>
    <row r="1" spans="1:8" ht="20.25" x14ac:dyDescent="0.3">
      <c r="A1" s="26" t="s">
        <v>84</v>
      </c>
      <c r="B1" s="26"/>
      <c r="C1" s="26"/>
      <c r="D1" s="26"/>
      <c r="E1" s="26"/>
      <c r="F1" s="26"/>
      <c r="G1" s="26"/>
      <c r="H1" s="26"/>
    </row>
    <row r="2" spans="1:8" ht="14.25" x14ac:dyDescent="0.2">
      <c r="A2" s="27" t="s">
        <v>27</v>
      </c>
      <c r="B2" s="27"/>
      <c r="C2" s="27"/>
      <c r="D2" s="27"/>
      <c r="E2" s="27"/>
      <c r="F2" s="27"/>
      <c r="G2" s="27"/>
      <c r="H2" s="27"/>
    </row>
    <row r="3" spans="1:8" ht="15" x14ac:dyDescent="0.2">
      <c r="A3" s="28" t="s">
        <v>96</v>
      </c>
      <c r="B3" s="28"/>
      <c r="C3" s="28"/>
      <c r="D3" s="28"/>
      <c r="E3" s="28"/>
      <c r="F3" s="28"/>
      <c r="G3" s="28"/>
      <c r="H3" s="28"/>
    </row>
    <row r="4" spans="1:8" ht="15.75" x14ac:dyDescent="0.25">
      <c r="A4" s="24"/>
      <c r="B4" s="24"/>
      <c r="C4" s="24"/>
      <c r="D4" s="24"/>
      <c r="E4" s="24"/>
      <c r="F4" s="24"/>
      <c r="G4" s="24"/>
      <c r="H4" s="25"/>
    </row>
    <row r="5" spans="1:8" ht="28.5" x14ac:dyDescent="0.2">
      <c r="A5" s="36" t="s">
        <v>2</v>
      </c>
      <c r="B5" s="36" t="s">
        <v>3</v>
      </c>
      <c r="C5" s="36" t="s">
        <v>4</v>
      </c>
      <c r="D5" s="36" t="s">
        <v>6</v>
      </c>
      <c r="E5" s="36" t="s">
        <v>11</v>
      </c>
      <c r="F5" s="36" t="s">
        <v>85</v>
      </c>
      <c r="G5" s="36" t="s">
        <v>86</v>
      </c>
      <c r="H5" s="36" t="s">
        <v>25</v>
      </c>
    </row>
    <row r="6" spans="1:8" x14ac:dyDescent="0.2">
      <c r="A6" s="35" t="str">
        <f>'Trang thiet bi'!A12</f>
        <v>I</v>
      </c>
      <c r="B6" s="34" t="str">
        <f>'Trang thiet bi'!B12</f>
        <v>Máy móc thiết bị</v>
      </c>
      <c r="C6" s="32"/>
      <c r="D6" s="32"/>
      <c r="E6" s="32"/>
      <c r="F6" s="32"/>
      <c r="G6" s="32"/>
      <c r="H6" s="33"/>
    </row>
    <row r="7" spans="1:8" x14ac:dyDescent="0.2">
      <c r="A7" s="30" t="e">
        <f>'Trang thiet bi'!#REF!</f>
        <v>#REF!</v>
      </c>
      <c r="B7" s="30" t="e">
        <f>'Trang thiet bi'!#REF!</f>
        <v>#REF!</v>
      </c>
      <c r="C7" s="30" t="e">
        <f>'Trang thiet bi'!#REF!</f>
        <v>#REF!</v>
      </c>
      <c r="D7" s="30" t="e">
        <f>'Trang thiet bi'!#REF!</f>
        <v>#REF!</v>
      </c>
      <c r="E7" s="30" t="e">
        <f>'Trang thiet bi'!#REF!</f>
        <v>#REF!</v>
      </c>
      <c r="F7" s="30" t="str">
        <f>IF(ISNUMBER($A7)=TRUE,"Đã dán","")</f>
        <v/>
      </c>
      <c r="G7" s="30" t="str">
        <f>IF(ISNUMBER($A7)=TRUE,"Đã dán","")</f>
        <v/>
      </c>
      <c r="H7" s="30" t="e">
        <f>'Trang thiet bi'!#REF!</f>
        <v>#REF!</v>
      </c>
    </row>
    <row r="8" spans="1:8" x14ac:dyDescent="0.2">
      <c r="A8" s="30" t="e">
        <f>'Trang thiet bi'!#REF!</f>
        <v>#REF!</v>
      </c>
      <c r="B8" s="30" t="e">
        <f>'Trang thiet bi'!#REF!</f>
        <v>#REF!</v>
      </c>
      <c r="C8" s="30" t="e">
        <f>'Trang thiet bi'!#REF!</f>
        <v>#REF!</v>
      </c>
      <c r="D8" s="30" t="e">
        <f>'Trang thiet bi'!#REF!</f>
        <v>#REF!</v>
      </c>
      <c r="E8" s="30" t="e">
        <f>'Trang thiet bi'!#REF!</f>
        <v>#REF!</v>
      </c>
      <c r="F8" s="30" t="str">
        <f t="shared" ref="F8:G23" si="0">IF(ISNUMBER($A8)=TRUE,"Đã dán","")</f>
        <v/>
      </c>
      <c r="G8" s="30" t="str">
        <f t="shared" si="0"/>
        <v/>
      </c>
      <c r="H8" s="30" t="e">
        <f>'Trang thiet bi'!#REF!</f>
        <v>#REF!</v>
      </c>
    </row>
    <row r="9" spans="1:8" x14ac:dyDescent="0.2">
      <c r="A9" s="30">
        <f>'Trang thiet bi'!A13</f>
        <v>1</v>
      </c>
      <c r="B9" s="30" t="str">
        <f>'Trang thiet bi'!B13</f>
        <v>Máy in Cannon F151300</v>
      </c>
      <c r="C9" s="30" t="str">
        <f>'Trang thiet bi'!C13</f>
        <v>DA18-MAYIN-01</v>
      </c>
      <c r="D9" s="30" t="str">
        <f>'Trang thiet bi'!E13</f>
        <v>VPHN</v>
      </c>
      <c r="E9" s="30">
        <f>'Trang thiet bi'!J13</f>
        <v>1</v>
      </c>
      <c r="F9" s="30" t="str">
        <f t="shared" si="0"/>
        <v>Đã dán</v>
      </c>
      <c r="G9" s="30" t="str">
        <f t="shared" si="0"/>
        <v>Đã dán</v>
      </c>
      <c r="H9" s="30" t="str">
        <f>'Trang thiet bi'!M13</f>
        <v>Bình thường</v>
      </c>
    </row>
    <row r="10" spans="1:8" x14ac:dyDescent="0.2">
      <c r="A10" s="30">
        <f>'Trang thiet bi'!A14</f>
        <v>2</v>
      </c>
      <c r="B10" s="30" t="str">
        <f>'Trang thiet bi'!B14</f>
        <v>Bộ lưu điện máy chủ APC Smart-UPS
1500VA LCD</v>
      </c>
      <c r="C10" s="30" t="str">
        <f>'Trang thiet bi'!C14</f>
        <v>DA24-NGUON-01</v>
      </c>
      <c r="D10" s="30" t="str">
        <f>'Trang thiet bi'!E14</f>
        <v>VPHN</v>
      </c>
      <c r="E10" s="30">
        <f>'Trang thiet bi'!J14</f>
        <v>1</v>
      </c>
      <c r="F10" s="30" t="str">
        <f t="shared" si="0"/>
        <v>Đã dán</v>
      </c>
      <c r="G10" s="30" t="str">
        <f t="shared" si="0"/>
        <v>Đã dán</v>
      </c>
      <c r="H10" s="30" t="str">
        <f>'Trang thiet bi'!M14</f>
        <v>Bình thường</v>
      </c>
    </row>
    <row r="11" spans="1:8" x14ac:dyDescent="0.2">
      <c r="A11" s="30">
        <f>'Trang thiet bi'!A15</f>
        <v>3</v>
      </c>
      <c r="B11" s="30" t="str">
        <f>'Trang thiet bi'!B15</f>
        <v>Desktop HP ProDesk 400 G7 MT</v>
      </c>
      <c r="C11" s="30" t="str">
        <f>'Trang thiet bi'!C15</f>
        <v>DA24-MTĐB-01</v>
      </c>
      <c r="D11" s="30" t="str">
        <f>'Trang thiet bi'!E15</f>
        <v>VPHN</v>
      </c>
      <c r="E11" s="30">
        <f>'Trang thiet bi'!J15</f>
        <v>1</v>
      </c>
      <c r="F11" s="30" t="str">
        <f t="shared" si="0"/>
        <v>Đã dán</v>
      </c>
      <c r="G11" s="30" t="str">
        <f t="shared" si="0"/>
        <v>Đã dán</v>
      </c>
      <c r="H11" s="30" t="str">
        <f>'Trang thiet bi'!M15</f>
        <v>Bình thường</v>
      </c>
    </row>
    <row r="12" spans="1:8" x14ac:dyDescent="0.2">
      <c r="A12" s="30">
        <f>'Trang thiet bi'!A16</f>
        <v>4</v>
      </c>
      <c r="B12" s="30" t="str">
        <f>'Trang thiet bi'!B16</f>
        <v>Desktop HP ProDesk 400 G7 MT</v>
      </c>
      <c r="C12" s="30" t="str">
        <f>'Trang thiet bi'!C16</f>
        <v>DA24-MTĐB-02</v>
      </c>
      <c r="D12" s="30" t="str">
        <f>'Trang thiet bi'!E16</f>
        <v>VPHN</v>
      </c>
      <c r="E12" s="30">
        <f>'Trang thiet bi'!J16</f>
        <v>1</v>
      </c>
      <c r="F12" s="30" t="str">
        <f t="shared" si="0"/>
        <v>Đã dán</v>
      </c>
      <c r="G12" s="30" t="str">
        <f t="shared" si="0"/>
        <v>Đã dán</v>
      </c>
      <c r="H12" s="30" t="str">
        <f>'Trang thiet bi'!M16</f>
        <v>Bình thường</v>
      </c>
    </row>
    <row r="13" spans="1:8" x14ac:dyDescent="0.2">
      <c r="A13" s="30">
        <f>'Trang thiet bi'!A17</f>
        <v>5</v>
      </c>
      <c r="B13" s="30" t="str">
        <f>'Trang thiet bi'!B17</f>
        <v>Desktop HP ProDesk 400 G7 MT</v>
      </c>
      <c r="C13" s="30" t="str">
        <f>'Trang thiet bi'!C17</f>
        <v>DA24-MTĐB-03</v>
      </c>
      <c r="D13" s="30" t="str">
        <f>'Trang thiet bi'!E17</f>
        <v>VPHN</v>
      </c>
      <c r="E13" s="30">
        <f>'Trang thiet bi'!J17</f>
        <v>1</v>
      </c>
      <c r="F13" s="30" t="str">
        <f t="shared" si="0"/>
        <v>Đã dán</v>
      </c>
      <c r="G13" s="30" t="str">
        <f t="shared" si="0"/>
        <v>Đã dán</v>
      </c>
      <c r="H13" s="30" t="str">
        <f>'Trang thiet bi'!M17</f>
        <v>Bình thường</v>
      </c>
    </row>
    <row r="14" spans="1:8" x14ac:dyDescent="0.2">
      <c r="A14" s="30" t="e">
        <f>'Trang thiet bi'!#REF!</f>
        <v>#REF!</v>
      </c>
      <c r="B14" s="30" t="e">
        <f>'Trang thiet bi'!#REF!</f>
        <v>#REF!</v>
      </c>
      <c r="C14" s="30" t="e">
        <f>'Trang thiet bi'!#REF!</f>
        <v>#REF!</v>
      </c>
      <c r="D14" s="30" t="e">
        <f>'Trang thiet bi'!#REF!</f>
        <v>#REF!</v>
      </c>
      <c r="E14" s="30" t="e">
        <f>'Trang thiet bi'!#REF!</f>
        <v>#REF!</v>
      </c>
      <c r="F14" s="30" t="str">
        <f t="shared" si="0"/>
        <v/>
      </c>
      <c r="G14" s="30" t="str">
        <f t="shared" si="0"/>
        <v/>
      </c>
      <c r="H14" s="30" t="e">
        <f>'Trang thiet bi'!#REF!</f>
        <v>#REF!</v>
      </c>
    </row>
    <row r="15" spans="1:8" x14ac:dyDescent="0.2">
      <c r="A15" s="30" t="e">
        <f>'Trang thiet bi'!#REF!</f>
        <v>#REF!</v>
      </c>
      <c r="B15" s="30" t="e">
        <f>'Trang thiet bi'!#REF!</f>
        <v>#REF!</v>
      </c>
      <c r="C15" s="30" t="e">
        <f>'Trang thiet bi'!#REF!</f>
        <v>#REF!</v>
      </c>
      <c r="D15" s="30" t="e">
        <f>'Trang thiet bi'!#REF!</f>
        <v>#REF!</v>
      </c>
      <c r="E15" s="30" t="e">
        <f>'Trang thiet bi'!#REF!</f>
        <v>#REF!</v>
      </c>
      <c r="F15" s="30" t="str">
        <f t="shared" si="0"/>
        <v/>
      </c>
      <c r="G15" s="30" t="str">
        <f t="shared" si="0"/>
        <v/>
      </c>
      <c r="H15" s="30" t="e">
        <f>'Trang thiet bi'!#REF!</f>
        <v>#REF!</v>
      </c>
    </row>
    <row r="16" spans="1:8" x14ac:dyDescent="0.2">
      <c r="A16" s="30" t="e">
        <f>'Trang thiet bi'!#REF!</f>
        <v>#REF!</v>
      </c>
      <c r="B16" s="30" t="e">
        <f>'Trang thiet bi'!#REF!</f>
        <v>#REF!</v>
      </c>
      <c r="C16" s="30" t="e">
        <f>'Trang thiet bi'!#REF!</f>
        <v>#REF!</v>
      </c>
      <c r="D16" s="30" t="e">
        <f>'Trang thiet bi'!#REF!</f>
        <v>#REF!</v>
      </c>
      <c r="E16" s="30" t="e">
        <f>'Trang thiet bi'!#REF!</f>
        <v>#REF!</v>
      </c>
      <c r="F16" s="30" t="str">
        <f t="shared" si="0"/>
        <v/>
      </c>
      <c r="G16" s="30" t="str">
        <f t="shared" si="0"/>
        <v/>
      </c>
      <c r="H16" s="30" t="e">
        <f>'Trang thiet bi'!#REF!</f>
        <v>#REF!</v>
      </c>
    </row>
    <row r="17" spans="1:8" x14ac:dyDescent="0.2">
      <c r="A17" s="30" t="e">
        <f>'Trang thiet bi'!#REF!</f>
        <v>#REF!</v>
      </c>
      <c r="B17" s="30" t="e">
        <f>'Trang thiet bi'!#REF!</f>
        <v>#REF!</v>
      </c>
      <c r="C17" s="30" t="e">
        <f>'Trang thiet bi'!#REF!</f>
        <v>#REF!</v>
      </c>
      <c r="D17" s="30" t="e">
        <f>'Trang thiet bi'!#REF!</f>
        <v>#REF!</v>
      </c>
      <c r="E17" s="30" t="e">
        <f>'Trang thiet bi'!#REF!</f>
        <v>#REF!</v>
      </c>
      <c r="F17" s="30" t="str">
        <f t="shared" si="0"/>
        <v/>
      </c>
      <c r="G17" s="30" t="str">
        <f t="shared" si="0"/>
        <v/>
      </c>
      <c r="H17" s="30" t="e">
        <f>'Trang thiet bi'!#REF!</f>
        <v>#REF!</v>
      </c>
    </row>
    <row r="18" spans="1:8" x14ac:dyDescent="0.2">
      <c r="A18" s="30" t="e">
        <f>'Trang thiet bi'!#REF!</f>
        <v>#REF!</v>
      </c>
      <c r="B18" s="30" t="e">
        <f>'Trang thiet bi'!#REF!</f>
        <v>#REF!</v>
      </c>
      <c r="C18" s="30" t="e">
        <f>'Trang thiet bi'!#REF!</f>
        <v>#REF!</v>
      </c>
      <c r="D18" s="30" t="e">
        <f>'Trang thiet bi'!#REF!</f>
        <v>#REF!</v>
      </c>
      <c r="E18" s="30" t="e">
        <f>'Trang thiet bi'!#REF!</f>
        <v>#REF!</v>
      </c>
      <c r="F18" s="30" t="str">
        <f t="shared" si="0"/>
        <v/>
      </c>
      <c r="G18" s="30" t="str">
        <f t="shared" si="0"/>
        <v/>
      </c>
      <c r="H18" s="30" t="e">
        <f>'Trang thiet bi'!#REF!</f>
        <v>#REF!</v>
      </c>
    </row>
    <row r="19" spans="1:8" x14ac:dyDescent="0.2">
      <c r="A19" s="30" t="e">
        <f>'Trang thiet bi'!#REF!</f>
        <v>#REF!</v>
      </c>
      <c r="B19" s="30" t="e">
        <f>'Trang thiet bi'!#REF!</f>
        <v>#REF!</v>
      </c>
      <c r="C19" s="30" t="e">
        <f>'Trang thiet bi'!#REF!</f>
        <v>#REF!</v>
      </c>
      <c r="D19" s="30" t="e">
        <f>'Trang thiet bi'!#REF!</f>
        <v>#REF!</v>
      </c>
      <c r="E19" s="30" t="e">
        <f>'Trang thiet bi'!#REF!</f>
        <v>#REF!</v>
      </c>
      <c r="F19" s="30" t="str">
        <f t="shared" si="0"/>
        <v/>
      </c>
      <c r="G19" s="30" t="str">
        <f t="shared" si="0"/>
        <v/>
      </c>
      <c r="H19" s="30" t="e">
        <f>'Trang thiet bi'!#REF!</f>
        <v>#REF!</v>
      </c>
    </row>
    <row r="20" spans="1:8" x14ac:dyDescent="0.2">
      <c r="A20" s="30" t="e">
        <f>'Trang thiet bi'!#REF!</f>
        <v>#REF!</v>
      </c>
      <c r="B20" s="30" t="e">
        <f>'Trang thiet bi'!#REF!</f>
        <v>#REF!</v>
      </c>
      <c r="C20" s="30" t="e">
        <f>'Trang thiet bi'!#REF!</f>
        <v>#REF!</v>
      </c>
      <c r="D20" s="30" t="e">
        <f>'Trang thiet bi'!#REF!</f>
        <v>#REF!</v>
      </c>
      <c r="E20" s="30" t="e">
        <f>'Trang thiet bi'!#REF!</f>
        <v>#REF!</v>
      </c>
      <c r="F20" s="30" t="str">
        <f t="shared" si="0"/>
        <v/>
      </c>
      <c r="G20" s="30" t="str">
        <f t="shared" si="0"/>
        <v/>
      </c>
      <c r="H20" s="30" t="e">
        <f>'Trang thiet bi'!#REF!</f>
        <v>#REF!</v>
      </c>
    </row>
    <row r="21" spans="1:8" x14ac:dyDescent="0.2">
      <c r="A21" s="30" t="e">
        <f>'Trang thiet bi'!#REF!</f>
        <v>#REF!</v>
      </c>
      <c r="B21" s="30" t="e">
        <f>'Trang thiet bi'!#REF!</f>
        <v>#REF!</v>
      </c>
      <c r="C21" s="30" t="e">
        <f>'Trang thiet bi'!#REF!</f>
        <v>#REF!</v>
      </c>
      <c r="D21" s="30" t="e">
        <f>'Trang thiet bi'!#REF!</f>
        <v>#REF!</v>
      </c>
      <c r="E21" s="30" t="e">
        <f>'Trang thiet bi'!#REF!</f>
        <v>#REF!</v>
      </c>
      <c r="F21" s="30" t="str">
        <f t="shared" si="0"/>
        <v/>
      </c>
      <c r="G21" s="30" t="str">
        <f t="shared" si="0"/>
        <v/>
      </c>
      <c r="H21" s="30" t="e">
        <f>'Trang thiet bi'!#REF!</f>
        <v>#REF!</v>
      </c>
    </row>
    <row r="22" spans="1:8" x14ac:dyDescent="0.2">
      <c r="A22" s="30">
        <f>'Trang thiet bi'!A19</f>
        <v>7</v>
      </c>
      <c r="B22" s="30" t="str">
        <f>'Trang thiet bi'!B19</f>
        <v>Laptop Lenovo S145</v>
      </c>
      <c r="C22" s="30" t="str">
        <f>'Trang thiet bi'!C19</f>
        <v>DA24-MTXT-14</v>
      </c>
      <c r="D22" s="30" t="str">
        <f>'Trang thiet bi'!E19</f>
        <v>VPHN</v>
      </c>
      <c r="E22" s="30">
        <f>'Trang thiet bi'!J19</f>
        <v>1</v>
      </c>
      <c r="F22" s="30" t="str">
        <f t="shared" si="0"/>
        <v>Đã dán</v>
      </c>
      <c r="G22" s="30" t="str">
        <f t="shared" si="0"/>
        <v>Đã dán</v>
      </c>
      <c r="H22" s="30" t="str">
        <f>'Trang thiet bi'!M19</f>
        <v>Bình thường</v>
      </c>
    </row>
    <row r="23" spans="1:8" x14ac:dyDescent="0.2">
      <c r="A23" s="30" t="e">
        <f>'Trang thiet bi'!#REF!</f>
        <v>#REF!</v>
      </c>
      <c r="B23" s="30" t="e">
        <f>'Trang thiet bi'!#REF!</f>
        <v>#REF!</v>
      </c>
      <c r="C23" s="30" t="e">
        <f>'Trang thiet bi'!#REF!</f>
        <v>#REF!</v>
      </c>
      <c r="D23" s="30" t="e">
        <f>'Trang thiet bi'!#REF!</f>
        <v>#REF!</v>
      </c>
      <c r="E23" s="30" t="e">
        <f>'Trang thiet bi'!#REF!</f>
        <v>#REF!</v>
      </c>
      <c r="F23" s="30" t="str">
        <f t="shared" si="0"/>
        <v/>
      </c>
      <c r="G23" s="30" t="str">
        <f t="shared" si="0"/>
        <v/>
      </c>
      <c r="H23" s="30" t="e">
        <f>'Trang thiet bi'!#REF!</f>
        <v>#REF!</v>
      </c>
    </row>
    <row r="24" spans="1:8" x14ac:dyDescent="0.2">
      <c r="A24" s="30">
        <f>'Trang thiet bi'!A20</f>
        <v>8</v>
      </c>
      <c r="B24" s="30" t="str">
        <f>'Trang thiet bi'!B20</f>
        <v>Loa bluetooth</v>
      </c>
      <c r="C24" s="30" t="str">
        <f>'Trang thiet bi'!C20</f>
        <v>DA24-LOA-01</v>
      </c>
      <c r="D24" s="30" t="str">
        <f>'Trang thiet bi'!E20</f>
        <v>VPHN</v>
      </c>
      <c r="E24" s="30">
        <f>'Trang thiet bi'!J20</f>
        <v>1</v>
      </c>
      <c r="F24" s="30" t="str">
        <f t="shared" ref="F24:G73" si="1">IF(ISNUMBER($A24)=TRUE,"Đã dán","")</f>
        <v>Đã dán</v>
      </c>
      <c r="G24" s="30" t="str">
        <f t="shared" si="1"/>
        <v>Đã dán</v>
      </c>
      <c r="H24" s="30" t="str">
        <f>'Trang thiet bi'!M20</f>
        <v>Bình thường</v>
      </c>
    </row>
    <row r="25" spans="1:8" x14ac:dyDescent="0.2">
      <c r="A25" s="30">
        <f>'Trang thiet bi'!A23</f>
        <v>11</v>
      </c>
      <c r="B25" s="30" t="str">
        <f>'Trang thiet bi'!B23</f>
        <v>Màn hình AOC</v>
      </c>
      <c r="C25" s="30" t="str">
        <f>'Trang thiet bi'!C23</f>
        <v>DA24-MHMT-02</v>
      </c>
      <c r="D25" s="30" t="str">
        <f>'Trang thiet bi'!E23</f>
        <v>VPHN</v>
      </c>
      <c r="E25" s="30">
        <f>'Trang thiet bi'!J23</f>
        <v>1</v>
      </c>
      <c r="F25" s="30" t="str">
        <f t="shared" si="1"/>
        <v>Đã dán</v>
      </c>
      <c r="G25" s="30" t="str">
        <f t="shared" si="1"/>
        <v>Đã dán</v>
      </c>
      <c r="H25" s="30" t="str">
        <f>'Trang thiet bi'!M23</f>
        <v>Bình thường</v>
      </c>
    </row>
    <row r="26" spans="1:8" x14ac:dyDescent="0.2">
      <c r="A26" s="30">
        <f>'Trang thiet bi'!A24</f>
        <v>12</v>
      </c>
      <c r="B26" s="30" t="str">
        <f>'Trang thiet bi'!B24</f>
        <v>Màn hình AOC</v>
      </c>
      <c r="C26" s="30" t="str">
        <f>'Trang thiet bi'!C24</f>
        <v>DA24-MHMT-03</v>
      </c>
      <c r="D26" s="30" t="str">
        <f>'Trang thiet bi'!E24</f>
        <v>VPHN</v>
      </c>
      <c r="E26" s="30">
        <f>'Trang thiet bi'!J24</f>
        <v>1</v>
      </c>
      <c r="F26" s="30" t="str">
        <f t="shared" si="1"/>
        <v>Đã dán</v>
      </c>
      <c r="G26" s="30" t="str">
        <f t="shared" si="1"/>
        <v>Đã dán</v>
      </c>
      <c r="H26" s="30" t="str">
        <f>'Trang thiet bi'!M24</f>
        <v>Bình thường</v>
      </c>
    </row>
    <row r="27" spans="1:8" x14ac:dyDescent="0.2">
      <c r="A27" s="30">
        <f>'Trang thiet bi'!A29</f>
        <v>17</v>
      </c>
      <c r="B27" s="30" t="str">
        <f>'Trang thiet bi'!B29</f>
        <v>Cable chuyển HDMI</v>
      </c>
      <c r="C27" s="30" t="str">
        <f>'Trang thiet bi'!C29</f>
        <v>DA24-HDMI-02</v>
      </c>
      <c r="D27" s="30" t="str">
        <f>'Trang thiet bi'!E29</f>
        <v>VPHN</v>
      </c>
      <c r="E27" s="30">
        <f>'Trang thiet bi'!J29</f>
        <v>1</v>
      </c>
      <c r="F27" s="30" t="str">
        <f t="shared" si="1"/>
        <v>Đã dán</v>
      </c>
      <c r="G27" s="30" t="str">
        <f t="shared" si="1"/>
        <v>Đã dán</v>
      </c>
      <c r="H27" s="30" t="str">
        <f>'Trang thiet bi'!M29</f>
        <v>Bình thường</v>
      </c>
    </row>
    <row r="28" spans="1:8" x14ac:dyDescent="0.2">
      <c r="A28" s="30">
        <f>'Trang thiet bi'!A30</f>
        <v>18</v>
      </c>
      <c r="B28" s="30" t="str">
        <f>'Trang thiet bi'!B30</f>
        <v>Ổ cứng lắp trong SSD Western Green 240Gb</v>
      </c>
      <c r="C28" s="30" t="str">
        <f>'Trang thiet bi'!C30</f>
        <v>DA24-OCLT-01</v>
      </c>
      <c r="D28" s="30" t="str">
        <f>'Trang thiet bi'!E30</f>
        <v>VPHN</v>
      </c>
      <c r="E28" s="30">
        <f>'Trang thiet bi'!J30</f>
        <v>1</v>
      </c>
      <c r="F28" s="30" t="str">
        <f t="shared" si="1"/>
        <v>Đã dán</v>
      </c>
      <c r="G28" s="30" t="str">
        <f t="shared" si="1"/>
        <v>Đã dán</v>
      </c>
      <c r="H28" s="30" t="str">
        <f>'Trang thiet bi'!M30</f>
        <v>Bình thường</v>
      </c>
    </row>
    <row r="29" spans="1:8" x14ac:dyDescent="0.2">
      <c r="A29" s="30">
        <f>'Trang thiet bi'!A31</f>
        <v>19</v>
      </c>
      <c r="B29" s="30" t="str">
        <f>'Trang thiet bi'!B31</f>
        <v>Ổ cứng lắp trong Western Digital Caviar 4TB 3.5"</v>
      </c>
      <c r="C29" s="30" t="str">
        <f>'Trang thiet bi'!C31</f>
        <v>DA24-OCLT-02</v>
      </c>
      <c r="D29" s="30" t="str">
        <f>'Trang thiet bi'!E31</f>
        <v>VPHN</v>
      </c>
      <c r="E29" s="30">
        <f>'Trang thiet bi'!J31</f>
        <v>1</v>
      </c>
      <c r="F29" s="30" t="str">
        <f t="shared" si="1"/>
        <v>Đã dán</v>
      </c>
      <c r="G29" s="30" t="str">
        <f t="shared" si="1"/>
        <v>Đã dán</v>
      </c>
      <c r="H29" s="30" t="str">
        <f>'Trang thiet bi'!M31</f>
        <v>Bình thường</v>
      </c>
    </row>
    <row r="30" spans="1:8" x14ac:dyDescent="0.2">
      <c r="A30" s="30">
        <f>'Trang thiet bi'!A32</f>
        <v>20</v>
      </c>
      <c r="B30" s="30" t="str">
        <f>'Trang thiet bi'!B32</f>
        <v xml:space="preserve">Router wifi DrayTek Virgo 2926 </v>
      </c>
      <c r="C30" s="30" t="str">
        <f>'Trang thiet bi'!C32</f>
        <v>DA24-WIFI-01</v>
      </c>
      <c r="D30" s="30" t="str">
        <f>'Trang thiet bi'!E32</f>
        <v>VPHN</v>
      </c>
      <c r="E30" s="30">
        <f>'Trang thiet bi'!J32</f>
        <v>1</v>
      </c>
      <c r="F30" s="30" t="str">
        <f t="shared" si="1"/>
        <v>Đã dán</v>
      </c>
      <c r="G30" s="30" t="str">
        <f t="shared" si="1"/>
        <v>Đã dán</v>
      </c>
      <c r="H30" s="30" t="str">
        <f>'Trang thiet bi'!M32</f>
        <v>Bình thường</v>
      </c>
    </row>
    <row r="31" spans="1:8" x14ac:dyDescent="0.2">
      <c r="A31" s="30" t="e">
        <f>'Trang thiet bi'!#REF!</f>
        <v>#REF!</v>
      </c>
      <c r="B31" s="30" t="e">
        <f>'Trang thiet bi'!#REF!</f>
        <v>#REF!</v>
      </c>
      <c r="C31" s="30" t="e">
        <f>'Trang thiet bi'!#REF!</f>
        <v>#REF!</v>
      </c>
      <c r="D31" s="30" t="e">
        <f>'Trang thiet bi'!#REF!</f>
        <v>#REF!</v>
      </c>
      <c r="E31" s="30" t="e">
        <f>'Trang thiet bi'!#REF!</f>
        <v>#REF!</v>
      </c>
      <c r="F31" s="30" t="str">
        <f t="shared" si="1"/>
        <v/>
      </c>
      <c r="G31" s="30" t="str">
        <f t="shared" si="1"/>
        <v/>
      </c>
      <c r="H31" s="30" t="e">
        <f>'Trang thiet bi'!#REF!</f>
        <v>#REF!</v>
      </c>
    </row>
    <row r="32" spans="1:8" x14ac:dyDescent="0.2">
      <c r="A32" s="30">
        <f>'Trang thiet bi'!A33</f>
        <v>21</v>
      </c>
      <c r="B32" s="30" t="str">
        <f>'Trang thiet bi'!B33</f>
        <v>USB WIFI AC1300 TP-LINK T3U PLUS</v>
      </c>
      <c r="C32" s="30" t="str">
        <f>'Trang thiet bi'!C33</f>
        <v>DA24-USB-01</v>
      </c>
      <c r="D32" s="30" t="str">
        <f>'Trang thiet bi'!E33</f>
        <v>VPHN</v>
      </c>
      <c r="E32" s="30">
        <f>'Trang thiet bi'!J33</f>
        <v>1</v>
      </c>
      <c r="F32" s="30" t="str">
        <f t="shared" si="1"/>
        <v>Đã dán</v>
      </c>
      <c r="G32" s="30" t="str">
        <f t="shared" si="1"/>
        <v>Đã dán</v>
      </c>
      <c r="H32" s="30" t="str">
        <f>'Trang thiet bi'!M33</f>
        <v>Bình thường</v>
      </c>
    </row>
    <row r="33" spans="1:8" x14ac:dyDescent="0.2">
      <c r="A33" s="30">
        <f>'Trang thiet bi'!A34</f>
        <v>22</v>
      </c>
      <c r="B33" s="30" t="str">
        <f>'Trang thiet bi'!B34</f>
        <v>Webcam</v>
      </c>
      <c r="C33" s="30" t="str">
        <f>'Trang thiet bi'!C34</f>
        <v>DA24-WC-01</v>
      </c>
      <c r="D33" s="30" t="str">
        <f>'Trang thiet bi'!E34</f>
        <v>VPHN</v>
      </c>
      <c r="E33" s="30">
        <f>'Trang thiet bi'!J34</f>
        <v>1</v>
      </c>
      <c r="F33" s="30" t="str">
        <f t="shared" si="1"/>
        <v>Đã dán</v>
      </c>
      <c r="G33" s="30" t="str">
        <f t="shared" si="1"/>
        <v>Đã dán</v>
      </c>
      <c r="H33" s="30" t="str">
        <f>'Trang thiet bi'!M34</f>
        <v>Bình thường</v>
      </c>
    </row>
    <row r="34" spans="1:8" x14ac:dyDescent="0.2">
      <c r="A34" s="30" t="e">
        <f>'Trang thiet bi'!#REF!</f>
        <v>#REF!</v>
      </c>
      <c r="B34" s="30" t="e">
        <f>'Trang thiet bi'!#REF!</f>
        <v>#REF!</v>
      </c>
      <c r="C34" s="30" t="e">
        <f>'Trang thiet bi'!#REF!</f>
        <v>#REF!</v>
      </c>
      <c r="D34" s="30" t="e">
        <f>'Trang thiet bi'!#REF!</f>
        <v>#REF!</v>
      </c>
      <c r="E34" s="30" t="e">
        <f>'Trang thiet bi'!#REF!</f>
        <v>#REF!</v>
      </c>
      <c r="F34" s="30" t="str">
        <f t="shared" si="1"/>
        <v/>
      </c>
      <c r="G34" s="30" t="str">
        <f t="shared" si="1"/>
        <v/>
      </c>
      <c r="H34" s="30" t="e">
        <f>'Trang thiet bi'!#REF!</f>
        <v>#REF!</v>
      </c>
    </row>
    <row r="35" spans="1:8" x14ac:dyDescent="0.2">
      <c r="A35" s="30" t="e">
        <f>'Trang thiet bi'!#REF!</f>
        <v>#REF!</v>
      </c>
      <c r="B35" s="30" t="e">
        <f>'Trang thiet bi'!#REF!</f>
        <v>#REF!</v>
      </c>
      <c r="C35" s="30" t="e">
        <f>'Trang thiet bi'!#REF!</f>
        <v>#REF!</v>
      </c>
      <c r="D35" s="30" t="e">
        <f>'Trang thiet bi'!#REF!</f>
        <v>#REF!</v>
      </c>
      <c r="E35" s="30" t="e">
        <f>'Trang thiet bi'!#REF!</f>
        <v>#REF!</v>
      </c>
      <c r="F35" s="30" t="str">
        <f t="shared" si="1"/>
        <v/>
      </c>
      <c r="G35" s="30" t="str">
        <f t="shared" si="1"/>
        <v/>
      </c>
      <c r="H35" s="30" t="e">
        <f>'Trang thiet bi'!#REF!</f>
        <v>#REF!</v>
      </c>
    </row>
    <row r="36" spans="1:8" x14ac:dyDescent="0.2">
      <c r="A36" s="35" t="e">
        <f>'Trang thiet bi'!#REF!</f>
        <v>#REF!</v>
      </c>
      <c r="B36" s="34" t="e">
        <f>'Trang thiet bi'!#REF!</f>
        <v>#REF!</v>
      </c>
      <c r="C36" s="32"/>
      <c r="D36" s="32"/>
      <c r="E36" s="32"/>
      <c r="F36" s="32"/>
      <c r="G36" s="32"/>
      <c r="H36" s="33"/>
    </row>
    <row r="37" spans="1:8" x14ac:dyDescent="0.2">
      <c r="A37" s="30" t="e">
        <f>'Trang thiet bi'!#REF!</f>
        <v>#REF!</v>
      </c>
      <c r="B37" s="30" t="e">
        <f>'Trang thiet bi'!#REF!</f>
        <v>#REF!</v>
      </c>
      <c r="C37" s="30" t="e">
        <f>'Trang thiet bi'!#REF!</f>
        <v>#REF!</v>
      </c>
      <c r="D37" s="30" t="e">
        <f>'Trang thiet bi'!#REF!</f>
        <v>#REF!</v>
      </c>
      <c r="E37" s="30" t="e">
        <f>'Trang thiet bi'!#REF!</f>
        <v>#REF!</v>
      </c>
      <c r="F37" s="30" t="str">
        <f t="shared" si="1"/>
        <v/>
      </c>
      <c r="G37" s="30" t="str">
        <f t="shared" si="1"/>
        <v/>
      </c>
      <c r="H37" s="30" t="e">
        <f>'Trang thiet bi'!#REF!</f>
        <v>#REF!</v>
      </c>
    </row>
    <row r="38" spans="1:8" x14ac:dyDescent="0.2">
      <c r="A38" s="30" t="e">
        <f>'Trang thiet bi'!#REF!</f>
        <v>#REF!</v>
      </c>
      <c r="B38" s="30" t="e">
        <f>'Trang thiet bi'!#REF!</f>
        <v>#REF!</v>
      </c>
      <c r="C38" s="30" t="e">
        <f>'Trang thiet bi'!#REF!</f>
        <v>#REF!</v>
      </c>
      <c r="D38" s="30" t="e">
        <f>'Trang thiet bi'!#REF!</f>
        <v>#REF!</v>
      </c>
      <c r="E38" s="30" t="e">
        <f>'Trang thiet bi'!#REF!</f>
        <v>#REF!</v>
      </c>
      <c r="F38" s="30" t="str">
        <f t="shared" si="1"/>
        <v/>
      </c>
      <c r="G38" s="30" t="str">
        <f t="shared" si="1"/>
        <v/>
      </c>
      <c r="H38" s="30" t="e">
        <f>'Trang thiet bi'!#REF!</f>
        <v>#REF!</v>
      </c>
    </row>
    <row r="39" spans="1:8" x14ac:dyDescent="0.2">
      <c r="A39" s="30" t="e">
        <f>'Trang thiet bi'!#REF!</f>
        <v>#REF!</v>
      </c>
      <c r="B39" s="30" t="e">
        <f>'Trang thiet bi'!#REF!</f>
        <v>#REF!</v>
      </c>
      <c r="C39" s="30" t="e">
        <f>'Trang thiet bi'!#REF!</f>
        <v>#REF!</v>
      </c>
      <c r="D39" s="30" t="e">
        <f>'Trang thiet bi'!#REF!</f>
        <v>#REF!</v>
      </c>
      <c r="E39" s="30" t="e">
        <f>'Trang thiet bi'!#REF!</f>
        <v>#REF!</v>
      </c>
      <c r="F39" s="30" t="str">
        <f t="shared" si="1"/>
        <v/>
      </c>
      <c r="G39" s="30" t="str">
        <f t="shared" si="1"/>
        <v/>
      </c>
      <c r="H39" s="30" t="e">
        <f>'Trang thiet bi'!#REF!</f>
        <v>#REF!</v>
      </c>
    </row>
    <row r="40" spans="1:8" x14ac:dyDescent="0.2">
      <c r="A40" s="30" t="e">
        <f>'Trang thiet bi'!#REF!</f>
        <v>#REF!</v>
      </c>
      <c r="B40" s="30" t="e">
        <f>'Trang thiet bi'!#REF!</f>
        <v>#REF!</v>
      </c>
      <c r="C40" s="30" t="e">
        <f>'Trang thiet bi'!#REF!</f>
        <v>#REF!</v>
      </c>
      <c r="D40" s="30" t="e">
        <f>'Trang thiet bi'!#REF!</f>
        <v>#REF!</v>
      </c>
      <c r="E40" s="30" t="e">
        <f>'Trang thiet bi'!#REF!</f>
        <v>#REF!</v>
      </c>
      <c r="F40" s="30" t="str">
        <f t="shared" si="1"/>
        <v/>
      </c>
      <c r="G40" s="30" t="str">
        <f t="shared" si="1"/>
        <v/>
      </c>
      <c r="H40" s="30" t="e">
        <f>'Trang thiet bi'!#REF!</f>
        <v>#REF!</v>
      </c>
    </row>
    <row r="41" spans="1:8" x14ac:dyDescent="0.2">
      <c r="A41" s="30" t="e">
        <f>'Trang thiet bi'!#REF!</f>
        <v>#REF!</v>
      </c>
      <c r="B41" s="30" t="e">
        <f>'Trang thiet bi'!#REF!</f>
        <v>#REF!</v>
      </c>
      <c r="C41" s="30" t="e">
        <f>'Trang thiet bi'!#REF!</f>
        <v>#REF!</v>
      </c>
      <c r="D41" s="30" t="e">
        <f>'Trang thiet bi'!#REF!</f>
        <v>#REF!</v>
      </c>
      <c r="E41" s="30" t="e">
        <f>'Trang thiet bi'!#REF!</f>
        <v>#REF!</v>
      </c>
      <c r="F41" s="30" t="str">
        <f t="shared" si="1"/>
        <v/>
      </c>
      <c r="G41" s="30" t="str">
        <f t="shared" si="1"/>
        <v/>
      </c>
      <c r="H41" s="30" t="e">
        <f>'Trang thiet bi'!#REF!</f>
        <v>#REF!</v>
      </c>
    </row>
    <row r="42" spans="1:8" x14ac:dyDescent="0.2">
      <c r="A42" s="30" t="e">
        <f>'Trang thiet bi'!#REF!</f>
        <v>#REF!</v>
      </c>
      <c r="B42" s="30" t="e">
        <f>'Trang thiet bi'!#REF!</f>
        <v>#REF!</v>
      </c>
      <c r="C42" s="30" t="e">
        <f>'Trang thiet bi'!#REF!</f>
        <v>#REF!</v>
      </c>
      <c r="D42" s="30" t="e">
        <f>'Trang thiet bi'!#REF!</f>
        <v>#REF!</v>
      </c>
      <c r="E42" s="30" t="e">
        <f>'Trang thiet bi'!#REF!</f>
        <v>#REF!</v>
      </c>
      <c r="F42" s="30" t="str">
        <f t="shared" si="1"/>
        <v/>
      </c>
      <c r="G42" s="30" t="str">
        <f t="shared" si="1"/>
        <v/>
      </c>
      <c r="H42" s="30" t="e">
        <f>'Trang thiet bi'!#REF!</f>
        <v>#REF!</v>
      </c>
    </row>
    <row r="43" spans="1:8" x14ac:dyDescent="0.2">
      <c r="A43" s="30" t="e">
        <f>'Trang thiet bi'!#REF!</f>
        <v>#REF!</v>
      </c>
      <c r="B43" s="30" t="e">
        <f>'Trang thiet bi'!#REF!</f>
        <v>#REF!</v>
      </c>
      <c r="C43" s="30" t="e">
        <f>'Trang thiet bi'!#REF!</f>
        <v>#REF!</v>
      </c>
      <c r="D43" s="30" t="e">
        <f>'Trang thiet bi'!#REF!</f>
        <v>#REF!</v>
      </c>
      <c r="E43" s="30" t="e">
        <f>'Trang thiet bi'!#REF!</f>
        <v>#REF!</v>
      </c>
      <c r="F43" s="30" t="str">
        <f t="shared" si="1"/>
        <v/>
      </c>
      <c r="G43" s="30" t="str">
        <f t="shared" si="1"/>
        <v/>
      </c>
      <c r="H43" s="30" t="e">
        <f>'Trang thiet bi'!#REF!</f>
        <v>#REF!</v>
      </c>
    </row>
    <row r="44" spans="1:8" x14ac:dyDescent="0.2">
      <c r="A44" s="30" t="e">
        <f>'Trang thiet bi'!#REF!</f>
        <v>#REF!</v>
      </c>
      <c r="B44" s="30" t="e">
        <f>'Trang thiet bi'!#REF!</f>
        <v>#REF!</v>
      </c>
      <c r="C44" s="30" t="e">
        <f>'Trang thiet bi'!#REF!</f>
        <v>#REF!</v>
      </c>
      <c r="D44" s="30" t="e">
        <f>'Trang thiet bi'!#REF!</f>
        <v>#REF!</v>
      </c>
      <c r="E44" s="30" t="e">
        <f>'Trang thiet bi'!#REF!</f>
        <v>#REF!</v>
      </c>
      <c r="F44" s="30" t="str">
        <f t="shared" si="1"/>
        <v/>
      </c>
      <c r="G44" s="30" t="str">
        <f t="shared" si="1"/>
        <v/>
      </c>
      <c r="H44" s="30" t="e">
        <f>'Trang thiet bi'!#REF!</f>
        <v>#REF!</v>
      </c>
    </row>
    <row r="45" spans="1:8" x14ac:dyDescent="0.2">
      <c r="A45" s="30" t="e">
        <f>'Trang thiet bi'!#REF!</f>
        <v>#REF!</v>
      </c>
      <c r="B45" s="30" t="e">
        <f>'Trang thiet bi'!#REF!</f>
        <v>#REF!</v>
      </c>
      <c r="C45" s="30" t="e">
        <f>'Trang thiet bi'!#REF!</f>
        <v>#REF!</v>
      </c>
      <c r="D45" s="30" t="e">
        <f>'Trang thiet bi'!#REF!</f>
        <v>#REF!</v>
      </c>
      <c r="E45" s="30" t="e">
        <f>'Trang thiet bi'!#REF!</f>
        <v>#REF!</v>
      </c>
      <c r="F45" s="30" t="str">
        <f t="shared" si="1"/>
        <v/>
      </c>
      <c r="G45" s="30" t="str">
        <f t="shared" si="1"/>
        <v/>
      </c>
      <c r="H45" s="30" t="e">
        <f>'Trang thiet bi'!#REF!</f>
        <v>#REF!</v>
      </c>
    </row>
    <row r="46" spans="1:8" x14ac:dyDescent="0.2">
      <c r="A46" s="30" t="e">
        <f>'Trang thiet bi'!#REF!</f>
        <v>#REF!</v>
      </c>
      <c r="B46" s="30" t="e">
        <f>'Trang thiet bi'!#REF!</f>
        <v>#REF!</v>
      </c>
      <c r="C46" s="30" t="e">
        <f>'Trang thiet bi'!#REF!</f>
        <v>#REF!</v>
      </c>
      <c r="D46" s="30" t="e">
        <f>'Trang thiet bi'!#REF!</f>
        <v>#REF!</v>
      </c>
      <c r="E46" s="30" t="e">
        <f>'Trang thiet bi'!#REF!</f>
        <v>#REF!</v>
      </c>
      <c r="F46" s="30" t="str">
        <f t="shared" si="1"/>
        <v/>
      </c>
      <c r="G46" s="30" t="str">
        <f t="shared" si="1"/>
        <v/>
      </c>
      <c r="H46" s="30" t="e">
        <f>'Trang thiet bi'!#REF!</f>
        <v>#REF!</v>
      </c>
    </row>
    <row r="47" spans="1:8" x14ac:dyDescent="0.2">
      <c r="A47" s="30" t="e">
        <f>'Trang thiet bi'!#REF!</f>
        <v>#REF!</v>
      </c>
      <c r="B47" s="30" t="e">
        <f>'Trang thiet bi'!#REF!</f>
        <v>#REF!</v>
      </c>
      <c r="C47" s="30" t="e">
        <f>'Trang thiet bi'!#REF!</f>
        <v>#REF!</v>
      </c>
      <c r="D47" s="30" t="e">
        <f>'Trang thiet bi'!#REF!</f>
        <v>#REF!</v>
      </c>
      <c r="E47" s="30" t="e">
        <f>'Trang thiet bi'!#REF!</f>
        <v>#REF!</v>
      </c>
      <c r="F47" s="30" t="str">
        <f t="shared" si="1"/>
        <v/>
      </c>
      <c r="G47" s="30" t="str">
        <f t="shared" si="1"/>
        <v/>
      </c>
      <c r="H47" s="30" t="e">
        <f>'Trang thiet bi'!#REF!</f>
        <v>#REF!</v>
      </c>
    </row>
    <row r="48" spans="1:8" x14ac:dyDescent="0.2">
      <c r="A48" s="30" t="e">
        <f>'Trang thiet bi'!#REF!</f>
        <v>#REF!</v>
      </c>
      <c r="B48" s="30" t="e">
        <f>'Trang thiet bi'!#REF!</f>
        <v>#REF!</v>
      </c>
      <c r="C48" s="30" t="e">
        <f>'Trang thiet bi'!#REF!</f>
        <v>#REF!</v>
      </c>
      <c r="D48" s="30" t="e">
        <f>'Trang thiet bi'!#REF!</f>
        <v>#REF!</v>
      </c>
      <c r="E48" s="30" t="e">
        <f>'Trang thiet bi'!#REF!</f>
        <v>#REF!</v>
      </c>
      <c r="F48" s="30" t="str">
        <f t="shared" si="1"/>
        <v/>
      </c>
      <c r="G48" s="30" t="str">
        <f t="shared" si="1"/>
        <v/>
      </c>
      <c r="H48" s="30" t="e">
        <f>'Trang thiet bi'!#REF!</f>
        <v>#REF!</v>
      </c>
    </row>
    <row r="49" spans="1:8" x14ac:dyDescent="0.2">
      <c r="A49" s="30" t="e">
        <f>'Trang thiet bi'!#REF!</f>
        <v>#REF!</v>
      </c>
      <c r="B49" s="30" t="e">
        <f>'Trang thiet bi'!#REF!</f>
        <v>#REF!</v>
      </c>
      <c r="C49" s="30" t="e">
        <f>'Trang thiet bi'!#REF!</f>
        <v>#REF!</v>
      </c>
      <c r="D49" s="30" t="e">
        <f>'Trang thiet bi'!#REF!</f>
        <v>#REF!</v>
      </c>
      <c r="E49" s="30" t="e">
        <f>'Trang thiet bi'!#REF!</f>
        <v>#REF!</v>
      </c>
      <c r="F49" s="30" t="str">
        <f t="shared" si="1"/>
        <v/>
      </c>
      <c r="G49" s="30" t="str">
        <f t="shared" si="1"/>
        <v/>
      </c>
      <c r="H49" s="30" t="e">
        <f>'Trang thiet bi'!#REF!</f>
        <v>#REF!</v>
      </c>
    </row>
    <row r="50" spans="1:8" x14ac:dyDescent="0.2">
      <c r="A50" s="30" t="e">
        <f>'Trang thiet bi'!#REF!</f>
        <v>#REF!</v>
      </c>
      <c r="B50" s="30" t="e">
        <f>'Trang thiet bi'!#REF!</f>
        <v>#REF!</v>
      </c>
      <c r="C50" s="30" t="e">
        <f>'Trang thiet bi'!#REF!</f>
        <v>#REF!</v>
      </c>
      <c r="D50" s="30" t="e">
        <f>'Trang thiet bi'!#REF!</f>
        <v>#REF!</v>
      </c>
      <c r="E50" s="30" t="e">
        <f>'Trang thiet bi'!#REF!</f>
        <v>#REF!</v>
      </c>
      <c r="F50" s="30" t="str">
        <f t="shared" si="1"/>
        <v/>
      </c>
      <c r="G50" s="30" t="str">
        <f t="shared" si="1"/>
        <v/>
      </c>
      <c r="H50" s="30" t="e">
        <f>'Trang thiet bi'!#REF!</f>
        <v>#REF!</v>
      </c>
    </row>
    <row r="51" spans="1:8" x14ac:dyDescent="0.2">
      <c r="A51" s="30">
        <f>'Trang thiet bi'!A35</f>
        <v>23</v>
      </c>
      <c r="B51" s="30" t="str">
        <f>'Trang thiet bi'!B35</f>
        <v>Laptop Dell Latitude 3420</v>
      </c>
      <c r="C51" s="30" t="str">
        <f>'Trang thiet bi'!C35</f>
        <v>DA45-MTXT-01</v>
      </c>
      <c r="D51" s="30" t="str">
        <f>'Trang thiet bi'!E35</f>
        <v>VPHN</v>
      </c>
      <c r="E51" s="30">
        <f>'Trang thiet bi'!J35</f>
        <v>1</v>
      </c>
      <c r="F51" s="30" t="str">
        <f t="shared" si="1"/>
        <v>Đã dán</v>
      </c>
      <c r="G51" s="30" t="str">
        <f t="shared" si="1"/>
        <v>Đã dán</v>
      </c>
      <c r="H51" s="30" t="str">
        <f>'Trang thiet bi'!M35</f>
        <v>Bình thường</v>
      </c>
    </row>
    <row r="52" spans="1:8" x14ac:dyDescent="0.2">
      <c r="A52" s="30" t="e">
        <f>'Trang thiet bi'!#REF!</f>
        <v>#REF!</v>
      </c>
      <c r="B52" s="30" t="e">
        <f>'Trang thiet bi'!#REF!</f>
        <v>#REF!</v>
      </c>
      <c r="C52" s="30" t="e">
        <f>'Trang thiet bi'!#REF!</f>
        <v>#REF!</v>
      </c>
      <c r="D52" s="30" t="e">
        <f>'Trang thiet bi'!#REF!</f>
        <v>#REF!</v>
      </c>
      <c r="E52" s="30" t="e">
        <f>'Trang thiet bi'!#REF!</f>
        <v>#REF!</v>
      </c>
      <c r="F52" s="30" t="str">
        <f t="shared" si="1"/>
        <v/>
      </c>
      <c r="G52" s="30" t="str">
        <f t="shared" si="1"/>
        <v/>
      </c>
      <c r="H52" s="30" t="e">
        <f>'Trang thiet bi'!#REF!</f>
        <v>#REF!</v>
      </c>
    </row>
    <row r="53" spans="1:8" x14ac:dyDescent="0.2">
      <c r="A53" s="30">
        <f>'Trang thiet bi'!A36</f>
        <v>24</v>
      </c>
      <c r="B53" s="30" t="str">
        <f>'Trang thiet bi'!B36</f>
        <v>Laptop HP  Pavilion 15-eg0069TU</v>
      </c>
      <c r="C53" s="30" t="str">
        <f>'Trang thiet bi'!C36</f>
        <v>DA45-MTXT-02</v>
      </c>
      <c r="D53" s="30" t="str">
        <f>'Trang thiet bi'!E36</f>
        <v>VPHN</v>
      </c>
      <c r="E53" s="30">
        <f>'Trang thiet bi'!J36</f>
        <v>1</v>
      </c>
      <c r="F53" s="30" t="str">
        <f t="shared" si="1"/>
        <v>Đã dán</v>
      </c>
      <c r="G53" s="30" t="str">
        <f t="shared" si="1"/>
        <v>Đã dán</v>
      </c>
      <c r="H53" s="30" t="str">
        <f>'Trang thiet bi'!M36</f>
        <v>Bình thường</v>
      </c>
    </row>
    <row r="54" spans="1:8" x14ac:dyDescent="0.2">
      <c r="A54" s="30">
        <f>'Trang thiet bi'!A37</f>
        <v>25</v>
      </c>
      <c r="B54" s="30" t="str">
        <f>'Trang thiet bi'!B37</f>
        <v>Laptop HP  Pavilion 15-eg0069TU</v>
      </c>
      <c r="C54" s="30" t="str">
        <f>'Trang thiet bi'!C37</f>
        <v>DA45-MTXT-03</v>
      </c>
      <c r="D54" s="30" t="str">
        <f>'Trang thiet bi'!E37</f>
        <v>VPHN</v>
      </c>
      <c r="E54" s="30">
        <f>'Trang thiet bi'!J37</f>
        <v>1</v>
      </c>
      <c r="F54" s="30" t="str">
        <f t="shared" si="1"/>
        <v>Đã dán</v>
      </c>
      <c r="G54" s="30" t="str">
        <f t="shared" si="1"/>
        <v>Đã dán</v>
      </c>
      <c r="H54" s="30" t="str">
        <f>'Trang thiet bi'!M37</f>
        <v>Bình thường</v>
      </c>
    </row>
    <row r="55" spans="1:8" x14ac:dyDescent="0.2">
      <c r="A55" s="30">
        <f>'Trang thiet bi'!A38</f>
        <v>26</v>
      </c>
      <c r="B55" s="30" t="str">
        <f>'Trang thiet bi'!B38</f>
        <v>Laptop HP Probook 430 G8 I5-135G7</v>
      </c>
      <c r="C55" s="30" t="str">
        <f>'Trang thiet bi'!C38</f>
        <v>DA45-MTXT-04</v>
      </c>
      <c r="D55" s="30" t="str">
        <f>'Trang thiet bi'!E38</f>
        <v>VPHN</v>
      </c>
      <c r="E55" s="30">
        <f>'Trang thiet bi'!J38</f>
        <v>1</v>
      </c>
      <c r="F55" s="30" t="str">
        <f t="shared" si="1"/>
        <v>Đã dán</v>
      </c>
      <c r="G55" s="30" t="str">
        <f t="shared" si="1"/>
        <v>Đã dán</v>
      </c>
      <c r="H55" s="30" t="str">
        <f>'Trang thiet bi'!M38</f>
        <v>Bình thường</v>
      </c>
    </row>
    <row r="56" spans="1:8" x14ac:dyDescent="0.2">
      <c r="A56" s="30">
        <f>'Trang thiet bi'!A39</f>
        <v>27</v>
      </c>
      <c r="B56" s="30" t="str">
        <f>'Trang thiet bi'!B39</f>
        <v>Laptop HP Probook 430 G8 I5-135G7</v>
      </c>
      <c r="C56" s="30" t="str">
        <f>'Trang thiet bi'!C39</f>
        <v>DA45-MTXT-05</v>
      </c>
      <c r="D56" s="30" t="str">
        <f>'Trang thiet bi'!E39</f>
        <v>VPHN</v>
      </c>
      <c r="E56" s="30">
        <f>'Trang thiet bi'!J39</f>
        <v>1</v>
      </c>
      <c r="F56" s="30" t="str">
        <f t="shared" si="1"/>
        <v>Đã dán</v>
      </c>
      <c r="G56" s="30" t="str">
        <f t="shared" si="1"/>
        <v>Đã dán</v>
      </c>
      <c r="H56" s="30" t="str">
        <f>'Trang thiet bi'!M39</f>
        <v>Bình thường</v>
      </c>
    </row>
    <row r="57" spans="1:8" x14ac:dyDescent="0.2">
      <c r="A57" s="30">
        <f>'Trang thiet bi'!A40</f>
        <v>28</v>
      </c>
      <c r="B57" s="30" t="str">
        <f>'Trang thiet bi'!B40</f>
        <v>Laptop HP Probook 430 G8 I7-1165G7</v>
      </c>
      <c r="C57" s="30" t="str">
        <f>'Trang thiet bi'!C40</f>
        <v>DA45-MTXT-06</v>
      </c>
      <c r="D57" s="30" t="str">
        <f>'Trang thiet bi'!E40</f>
        <v>VPHN</v>
      </c>
      <c r="E57" s="30">
        <f>'Trang thiet bi'!J40</f>
        <v>1</v>
      </c>
      <c r="F57" s="30" t="str">
        <f t="shared" si="1"/>
        <v>Đã dán</v>
      </c>
      <c r="G57" s="30" t="str">
        <f t="shared" si="1"/>
        <v>Đã dán</v>
      </c>
      <c r="H57" s="30" t="str">
        <f>'Trang thiet bi'!M40</f>
        <v>Bình thường</v>
      </c>
    </row>
    <row r="58" spans="1:8" x14ac:dyDescent="0.2">
      <c r="A58" s="30">
        <f>'Trang thiet bi'!A44</f>
        <v>32</v>
      </c>
      <c r="B58" s="30" t="str">
        <f>'Trang thiet bi'!B44</f>
        <v>Bộ chia wifi 6 Asus RT-AX55U AX1800Mbps</v>
      </c>
      <c r="C58" s="30" t="str">
        <f>'Trang thiet bi'!C44</f>
        <v>VP-WIFI-01</v>
      </c>
      <c r="D58" s="30" t="str">
        <f>'Trang thiet bi'!E44</f>
        <v>VPHN</v>
      </c>
      <c r="E58" s="30">
        <f>'Trang thiet bi'!J44</f>
        <v>1</v>
      </c>
      <c r="F58" s="30" t="str">
        <f t="shared" si="1"/>
        <v>Đã dán</v>
      </c>
      <c r="G58" s="30" t="str">
        <f t="shared" si="1"/>
        <v>Đã dán</v>
      </c>
      <c r="H58" s="30" t="str">
        <f>'Trang thiet bi'!M44</f>
        <v>Bình thường</v>
      </c>
    </row>
    <row r="59" spans="1:8" x14ac:dyDescent="0.2">
      <c r="A59" s="30">
        <f>'Trang thiet bi'!A45</f>
        <v>33</v>
      </c>
      <c r="B59" s="30" t="str">
        <f>'Trang thiet bi'!B45</f>
        <v>Bộ chia wifi CISCO</v>
      </c>
      <c r="C59" s="30" t="str">
        <f>'Trang thiet bi'!C45</f>
        <v>VP-WIFI-02</v>
      </c>
      <c r="D59" s="30" t="str">
        <f>'Trang thiet bi'!E45</f>
        <v>VPHN</v>
      </c>
      <c r="E59" s="30">
        <f>'Trang thiet bi'!J45</f>
        <v>1</v>
      </c>
      <c r="F59" s="30" t="str">
        <f t="shared" si="1"/>
        <v>Đã dán</v>
      </c>
      <c r="G59" s="30" t="str">
        <f t="shared" si="1"/>
        <v>Đã dán</v>
      </c>
      <c r="H59" s="30" t="str">
        <f>'Trang thiet bi'!M45</f>
        <v>Bình thường</v>
      </c>
    </row>
    <row r="60" spans="1:8" x14ac:dyDescent="0.2">
      <c r="A60" s="30">
        <f>'Trang thiet bi'!A46</f>
        <v>34</v>
      </c>
      <c r="B60" s="30" t="str">
        <f>'Trang thiet bi'!B46</f>
        <v>Bộ chia wifi Linksys EA6350</v>
      </c>
      <c r="C60" s="30" t="str">
        <f>'Trang thiet bi'!C46</f>
        <v>VP-WIFI-03</v>
      </c>
      <c r="D60" s="30" t="str">
        <f>'Trang thiet bi'!E46</f>
        <v>VPHN</v>
      </c>
      <c r="E60" s="30">
        <f>'Trang thiet bi'!J46</f>
        <v>1</v>
      </c>
      <c r="F60" s="30" t="str">
        <f t="shared" si="1"/>
        <v>Đã dán</v>
      </c>
      <c r="G60" s="30" t="str">
        <f t="shared" si="1"/>
        <v>Đã dán</v>
      </c>
      <c r="H60" s="30" t="str">
        <f>'Trang thiet bi'!M46</f>
        <v>Bình thường</v>
      </c>
    </row>
    <row r="61" spans="1:8" x14ac:dyDescent="0.2">
      <c r="A61" s="30">
        <f>'Trang thiet bi'!A47</f>
        <v>35</v>
      </c>
      <c r="B61" s="30" t="str">
        <f>'Trang thiet bi'!B47</f>
        <v>Bộ lưu điện UPS</v>
      </c>
      <c r="C61" s="30" t="str">
        <f>'Trang thiet bi'!C47</f>
        <v>VP-NGUON-01</v>
      </c>
      <c r="D61" s="30" t="str">
        <f>'Trang thiet bi'!E47</f>
        <v>VPHN</v>
      </c>
      <c r="E61" s="30">
        <f>'Trang thiet bi'!J47</f>
        <v>1</v>
      </c>
      <c r="F61" s="30" t="str">
        <f t="shared" si="1"/>
        <v>Đã dán</v>
      </c>
      <c r="G61" s="30" t="str">
        <f t="shared" si="1"/>
        <v>Đã dán</v>
      </c>
      <c r="H61" s="30" t="str">
        <f>'Trang thiet bi'!M47</f>
        <v>Bình thường</v>
      </c>
    </row>
    <row r="62" spans="1:8" x14ac:dyDescent="0.2">
      <c r="A62" s="30">
        <f>'Trang thiet bi'!A48</f>
        <v>36</v>
      </c>
      <c r="B62" s="30" t="str">
        <f>'Trang thiet bi'!B48</f>
        <v>Bộ lưu điện UPS</v>
      </c>
      <c r="C62" s="30" t="str">
        <f>'Trang thiet bi'!C48</f>
        <v>VP-NGUON-02</v>
      </c>
      <c r="D62" s="30" t="str">
        <f>'Trang thiet bi'!E48</f>
        <v>VPHN</v>
      </c>
      <c r="E62" s="30">
        <f>'Trang thiet bi'!J48</f>
        <v>1</v>
      </c>
      <c r="F62" s="30" t="str">
        <f t="shared" si="1"/>
        <v>Đã dán</v>
      </c>
      <c r="G62" s="30" t="str">
        <f t="shared" si="1"/>
        <v>Đã dán</v>
      </c>
      <c r="H62" s="30" t="str">
        <f>'Trang thiet bi'!M48</f>
        <v>Bình thường</v>
      </c>
    </row>
    <row r="63" spans="1:8" x14ac:dyDescent="0.2">
      <c r="A63" s="30">
        <f>'Trang thiet bi'!A49</f>
        <v>37</v>
      </c>
      <c r="B63" s="30" t="str">
        <f>'Trang thiet bi'!B49</f>
        <v>Bộ lưu điện UPS</v>
      </c>
      <c r="C63" s="30" t="str">
        <f>'Trang thiet bi'!C49</f>
        <v>VP-NGUON-03</v>
      </c>
      <c r="D63" s="30" t="str">
        <f>'Trang thiet bi'!E49</f>
        <v>VPHN</v>
      </c>
      <c r="E63" s="30">
        <f>'Trang thiet bi'!J49</f>
        <v>1</v>
      </c>
      <c r="F63" s="30" t="str">
        <f t="shared" si="1"/>
        <v>Đã dán</v>
      </c>
      <c r="G63" s="30" t="str">
        <f t="shared" si="1"/>
        <v>Đã dán</v>
      </c>
      <c r="H63" s="30" t="str">
        <f>'Trang thiet bi'!M49</f>
        <v>Bình thường</v>
      </c>
    </row>
    <row r="64" spans="1:8" x14ac:dyDescent="0.2">
      <c r="A64" s="30">
        <f>'Trang thiet bi'!A50</f>
        <v>38</v>
      </c>
      <c r="B64" s="30" t="str">
        <f>'Trang thiet bi'!B50</f>
        <v>Desktop Dell Optiplex core i7</v>
      </c>
      <c r="C64" s="30" t="str">
        <f>'Trang thiet bi'!C50</f>
        <v>VP-MTĐB-01</v>
      </c>
      <c r="D64" s="30" t="str">
        <f>'Trang thiet bi'!E50</f>
        <v>VPHN</v>
      </c>
      <c r="E64" s="30">
        <f>'Trang thiet bi'!J50</f>
        <v>1</v>
      </c>
      <c r="F64" s="30" t="str">
        <f t="shared" si="1"/>
        <v>Đã dán</v>
      </c>
      <c r="G64" s="30" t="str">
        <f t="shared" si="1"/>
        <v>Đã dán</v>
      </c>
      <c r="H64" s="30" t="str">
        <f>'Trang thiet bi'!M50</f>
        <v>Bình thường</v>
      </c>
    </row>
    <row r="65" spans="1:8" x14ac:dyDescent="0.2">
      <c r="A65" s="30">
        <f>'Trang thiet bi'!A51</f>
        <v>39</v>
      </c>
      <c r="B65" s="30" t="str">
        <f>'Trang thiet bi'!B51</f>
        <v>Desktop HP Pavilion 590-P0058D</v>
      </c>
      <c r="C65" s="30" t="str">
        <f>'Trang thiet bi'!C51</f>
        <v>VP-MTĐB-02</v>
      </c>
      <c r="D65" s="30" t="str">
        <f>'Trang thiet bi'!E51</f>
        <v>VPHN</v>
      </c>
      <c r="E65" s="30">
        <f>'Trang thiet bi'!J51</f>
        <v>1</v>
      </c>
      <c r="F65" s="30" t="str">
        <f t="shared" si="1"/>
        <v>Đã dán</v>
      </c>
      <c r="G65" s="30" t="str">
        <f t="shared" si="1"/>
        <v>Đã dán</v>
      </c>
      <c r="H65" s="30" t="str">
        <f>'Trang thiet bi'!M51</f>
        <v>Bình thường</v>
      </c>
    </row>
    <row r="66" spans="1:8" x14ac:dyDescent="0.2">
      <c r="A66" s="30">
        <f>'Trang thiet bi'!A52</f>
        <v>40</v>
      </c>
      <c r="B66" s="30" t="str">
        <f>'Trang thiet bi'!B52</f>
        <v>Desktop Server HP</v>
      </c>
      <c r="C66" s="30" t="str">
        <f>'Trang thiet bi'!C52</f>
        <v>VP-MTĐB-03</v>
      </c>
      <c r="D66" s="30" t="str">
        <f>'Trang thiet bi'!E52</f>
        <v>VPHN</v>
      </c>
      <c r="E66" s="30">
        <f>'Trang thiet bi'!J52</f>
        <v>1</v>
      </c>
      <c r="F66" s="30" t="str">
        <f t="shared" si="1"/>
        <v>Đã dán</v>
      </c>
      <c r="G66" s="30" t="str">
        <f t="shared" si="1"/>
        <v>Đã dán</v>
      </c>
      <c r="H66" s="30" t="str">
        <f>'Trang thiet bi'!M52</f>
        <v>Bình thường</v>
      </c>
    </row>
    <row r="67" spans="1:8" x14ac:dyDescent="0.2">
      <c r="A67" s="30">
        <f>'Trang thiet bi'!A53</f>
        <v>41</v>
      </c>
      <c r="B67" s="30" t="str">
        <f>'Trang thiet bi'!B53</f>
        <v>Điện thoại Panasonic KX-TGC210CXS nối dài</v>
      </c>
      <c r="C67" s="30" t="str">
        <f>'Trang thiet bi'!C53</f>
        <v>VP-ĐTB-01</v>
      </c>
      <c r="D67" s="30" t="str">
        <f>'Trang thiet bi'!E53</f>
        <v>VPHN</v>
      </c>
      <c r="E67" s="30">
        <f>'Trang thiet bi'!J53</f>
        <v>1</v>
      </c>
      <c r="F67" s="30" t="str">
        <f t="shared" si="1"/>
        <v>Đã dán</v>
      </c>
      <c r="G67" s="30" t="str">
        <f t="shared" si="1"/>
        <v>Đã dán</v>
      </c>
      <c r="H67" s="30" t="str">
        <f>'Trang thiet bi'!M53</f>
        <v>Bình thường</v>
      </c>
    </row>
    <row r="68" spans="1:8" x14ac:dyDescent="0.2">
      <c r="A68" s="30">
        <f>'Trang thiet bi'!A54</f>
        <v>42</v>
      </c>
      <c r="B68" s="30" t="str">
        <f>'Trang thiet bi'!B54</f>
        <v>Laptop Dell XPS</v>
      </c>
      <c r="C68" s="30" t="str">
        <f>'Trang thiet bi'!C54</f>
        <v>VP-MTXT-01</v>
      </c>
      <c r="D68" s="30" t="str">
        <f>'Trang thiet bi'!E54</f>
        <v>VPHN</v>
      </c>
      <c r="E68" s="30">
        <f>'Trang thiet bi'!J54</f>
        <v>1</v>
      </c>
      <c r="F68" s="30" t="str">
        <f t="shared" si="1"/>
        <v>Đã dán</v>
      </c>
      <c r="G68" s="30" t="str">
        <f t="shared" si="1"/>
        <v>Đã dán</v>
      </c>
      <c r="H68" s="30" t="str">
        <f>'Trang thiet bi'!M54</f>
        <v>Bình thường</v>
      </c>
    </row>
    <row r="69" spans="1:8" x14ac:dyDescent="0.2">
      <c r="A69" s="30" t="e">
        <f>'Trang thiet bi'!#REF!</f>
        <v>#REF!</v>
      </c>
      <c r="B69" s="30" t="e">
        <f>'Trang thiet bi'!#REF!</f>
        <v>#REF!</v>
      </c>
      <c r="C69" s="30" t="e">
        <f>'Trang thiet bi'!#REF!</f>
        <v>#REF!</v>
      </c>
      <c r="D69" s="30" t="e">
        <f>'Trang thiet bi'!#REF!</f>
        <v>#REF!</v>
      </c>
      <c r="E69" s="30" t="e">
        <f>'Trang thiet bi'!#REF!</f>
        <v>#REF!</v>
      </c>
      <c r="F69" s="30" t="str">
        <f t="shared" si="1"/>
        <v/>
      </c>
      <c r="G69" s="30" t="str">
        <f t="shared" si="1"/>
        <v/>
      </c>
      <c r="H69" s="30" t="e">
        <f>'Trang thiet bi'!#REF!</f>
        <v>#REF!</v>
      </c>
    </row>
    <row r="70" spans="1:8" x14ac:dyDescent="0.2">
      <c r="A70" s="30">
        <f>'Trang thiet bi'!A57</f>
        <v>45</v>
      </c>
      <c r="B70" s="30" t="str">
        <f>'Trang thiet bi'!B57</f>
        <v>LCD Dell 18.5"</v>
      </c>
      <c r="C70" s="30" t="str">
        <f>'Trang thiet bi'!C57</f>
        <v>VP-MHMT-01</v>
      </c>
      <c r="D70" s="30" t="str">
        <f>'Trang thiet bi'!E57</f>
        <v>VPHN</v>
      </c>
      <c r="E70" s="30">
        <f>'Trang thiet bi'!J57</f>
        <v>1</v>
      </c>
      <c r="F70" s="30" t="str">
        <f t="shared" si="1"/>
        <v>Đã dán</v>
      </c>
      <c r="G70" s="30" t="str">
        <f t="shared" si="1"/>
        <v>Đã dán</v>
      </c>
      <c r="H70" s="30" t="str">
        <f>'Trang thiet bi'!M57</f>
        <v>Bình thường</v>
      </c>
    </row>
    <row r="71" spans="1:8" x14ac:dyDescent="0.2">
      <c r="A71" s="30">
        <f>'Trang thiet bi'!A58</f>
        <v>46</v>
      </c>
      <c r="B71" s="30" t="str">
        <f>'Trang thiet bi'!B58</f>
        <v>LCD Dell 18.5"</v>
      </c>
      <c r="C71" s="30" t="str">
        <f>'Trang thiet bi'!C58</f>
        <v>VP-MHMT-02</v>
      </c>
      <c r="D71" s="30" t="str">
        <f>'Trang thiet bi'!E58</f>
        <v>VPHN</v>
      </c>
      <c r="E71" s="30">
        <f>'Trang thiet bi'!J58</f>
        <v>1</v>
      </c>
      <c r="F71" s="30" t="str">
        <f t="shared" si="1"/>
        <v>Đã dán</v>
      </c>
      <c r="G71" s="30" t="str">
        <f t="shared" si="1"/>
        <v>Đã dán</v>
      </c>
      <c r="H71" s="30" t="str">
        <f>'Trang thiet bi'!M58</f>
        <v>Bình thường</v>
      </c>
    </row>
    <row r="72" spans="1:8" x14ac:dyDescent="0.2">
      <c r="A72" s="30">
        <f>'Trang thiet bi'!A61</f>
        <v>49</v>
      </c>
      <c r="B72" s="30" t="str">
        <f>'Trang thiet bi'!B61</f>
        <v>Máy ảnh Canon 6D</v>
      </c>
      <c r="C72" s="30" t="str">
        <f>'Trang thiet bi'!C61</f>
        <v>VP-MAYANH-01</v>
      </c>
      <c r="D72" s="30" t="str">
        <f>'Trang thiet bi'!E61</f>
        <v>VPHN</v>
      </c>
      <c r="E72" s="30">
        <f>'Trang thiet bi'!J61</f>
        <v>1</v>
      </c>
      <c r="F72" s="30" t="str">
        <f t="shared" si="1"/>
        <v>Đã dán</v>
      </c>
      <c r="G72" s="30" t="str">
        <f t="shared" si="1"/>
        <v>Đã dán</v>
      </c>
      <c r="H72" s="30" t="str">
        <f>'Trang thiet bi'!M61</f>
        <v>Bình thường</v>
      </c>
    </row>
    <row r="73" spans="1:8" x14ac:dyDescent="0.2">
      <c r="A73" s="30">
        <f>'Trang thiet bi'!A62</f>
        <v>50</v>
      </c>
      <c r="B73" s="30" t="str">
        <f>'Trang thiet bi'!B62</f>
        <v>Máy chấm công</v>
      </c>
      <c r="C73" s="30" t="str">
        <f>'Trang thiet bi'!C62</f>
        <v>VP-MCC-01</v>
      </c>
      <c r="D73" s="30" t="str">
        <f>'Trang thiet bi'!E62</f>
        <v>VPHN</v>
      </c>
      <c r="E73" s="30">
        <f>'Trang thiet bi'!J62</f>
        <v>1</v>
      </c>
      <c r="F73" s="30" t="str">
        <f t="shared" si="1"/>
        <v>Đã dán</v>
      </c>
      <c r="G73" s="30" t="str">
        <f t="shared" si="1"/>
        <v>Đã dán</v>
      </c>
      <c r="H73" s="30" t="str">
        <f>'Trang thiet bi'!M62</f>
        <v>Bình thường</v>
      </c>
    </row>
    <row r="74" spans="1:8" x14ac:dyDescent="0.2">
      <c r="A74" s="30">
        <f>'Trang thiet bi'!A63</f>
        <v>51</v>
      </c>
      <c r="B74" s="30" t="str">
        <f>'Trang thiet bi'!B63</f>
        <v>Máy chiếu Epson EB2142W</v>
      </c>
      <c r="C74" s="30" t="str">
        <f>'Trang thiet bi'!C63</f>
        <v>VP-MC-01</v>
      </c>
      <c r="D74" s="30" t="str">
        <f>'Trang thiet bi'!E63</f>
        <v>VPHN</v>
      </c>
      <c r="E74" s="30">
        <f>'Trang thiet bi'!J63</f>
        <v>1</v>
      </c>
      <c r="F74" s="30" t="str">
        <f t="shared" ref="F74:G80" si="2">IF(ISNUMBER($A74)=TRUE,"Đã dán","")</f>
        <v>Đã dán</v>
      </c>
      <c r="G74" s="30" t="str">
        <f t="shared" si="2"/>
        <v>Đã dán</v>
      </c>
      <c r="H74" s="30" t="str">
        <f>'Trang thiet bi'!M63</f>
        <v>Bình thường</v>
      </c>
    </row>
    <row r="75" spans="1:8" x14ac:dyDescent="0.2">
      <c r="A75" s="30">
        <f>'Trang thiet bi'!A64</f>
        <v>52</v>
      </c>
      <c r="B75" s="30" t="str">
        <f>'Trang thiet bi'!B64</f>
        <v>Máy chiếu Panasonic PT-LB60NTEA</v>
      </c>
      <c r="C75" s="30" t="str">
        <f>'Trang thiet bi'!C64</f>
        <v>VP-MC-02</v>
      </c>
      <c r="D75" s="30" t="str">
        <f>'Trang thiet bi'!E64</f>
        <v>VPHN</v>
      </c>
      <c r="E75" s="30">
        <f>'Trang thiet bi'!J64</f>
        <v>1</v>
      </c>
      <c r="F75" s="30" t="str">
        <f t="shared" si="2"/>
        <v>Đã dán</v>
      </c>
      <c r="G75" s="30" t="str">
        <f t="shared" si="2"/>
        <v>Đã dán</v>
      </c>
      <c r="H75" s="30" t="str">
        <f>'Trang thiet bi'!M64</f>
        <v>Bình thường</v>
      </c>
    </row>
    <row r="76" spans="1:8" x14ac:dyDescent="0.2">
      <c r="A76" s="30" t="e">
        <f>'Trang thiet bi'!#REF!</f>
        <v>#REF!</v>
      </c>
      <c r="B76" s="30" t="e">
        <f>'Trang thiet bi'!#REF!</f>
        <v>#REF!</v>
      </c>
      <c r="C76" s="30" t="e">
        <f>'Trang thiet bi'!#REF!</f>
        <v>#REF!</v>
      </c>
      <c r="D76" s="30" t="e">
        <f>'Trang thiet bi'!#REF!</f>
        <v>#REF!</v>
      </c>
      <c r="E76" s="30" t="e">
        <f>'Trang thiet bi'!#REF!</f>
        <v>#REF!</v>
      </c>
      <c r="F76" s="30" t="str">
        <f t="shared" si="2"/>
        <v/>
      </c>
      <c r="G76" s="30" t="str">
        <f t="shared" si="2"/>
        <v/>
      </c>
      <c r="H76" s="30" t="e">
        <f>'Trang thiet bi'!#REF!</f>
        <v>#REF!</v>
      </c>
    </row>
    <row r="77" spans="1:8" x14ac:dyDescent="0.2">
      <c r="A77" s="30">
        <f>'Trang thiet bi'!A65</f>
        <v>53</v>
      </c>
      <c r="B77" s="30" t="str">
        <f>'Trang thiet bi'!B65</f>
        <v>Máy in Canon 3300</v>
      </c>
      <c r="C77" s="30" t="str">
        <f>'Trang thiet bi'!C65</f>
        <v>VP-MAYIN-01</v>
      </c>
      <c r="D77" s="30" t="str">
        <f>'Trang thiet bi'!E65</f>
        <v>VPHN</v>
      </c>
      <c r="E77" s="30">
        <f>'Trang thiet bi'!J65</f>
        <v>1</v>
      </c>
      <c r="F77" s="30" t="str">
        <f t="shared" si="2"/>
        <v>Đã dán</v>
      </c>
      <c r="G77" s="30" t="str">
        <f t="shared" si="2"/>
        <v>Đã dán</v>
      </c>
      <c r="H77" s="30" t="str">
        <f>'Trang thiet bi'!M65</f>
        <v>Bình thường</v>
      </c>
    </row>
    <row r="78" spans="1:8" x14ac:dyDescent="0.2">
      <c r="A78" s="30">
        <f>'Trang thiet bi'!A66</f>
        <v>54</v>
      </c>
      <c r="B78" s="30" t="str">
        <f>'Trang thiet bi'!B66</f>
        <v>Máy in Canon 3300</v>
      </c>
      <c r="C78" s="30" t="str">
        <f>'Trang thiet bi'!C66</f>
        <v>VP-MAYIN-02</v>
      </c>
      <c r="D78" s="30" t="str">
        <f>'Trang thiet bi'!E66</f>
        <v>VPHN</v>
      </c>
      <c r="E78" s="30">
        <f>'Trang thiet bi'!J66</f>
        <v>1</v>
      </c>
      <c r="F78" s="30" t="str">
        <f t="shared" si="2"/>
        <v>Đã dán</v>
      </c>
      <c r="G78" s="30" t="str">
        <f t="shared" si="2"/>
        <v>Đã dán</v>
      </c>
      <c r="H78" s="30" t="str">
        <f>'Trang thiet bi'!M66</f>
        <v>Bình thường</v>
      </c>
    </row>
    <row r="79" spans="1:8" x14ac:dyDescent="0.2">
      <c r="A79" s="30">
        <f>'Trang thiet bi'!A67</f>
        <v>55</v>
      </c>
      <c r="B79" s="30" t="str">
        <f>'Trang thiet bi'!B67</f>
        <v>Máy in Canon 3300</v>
      </c>
      <c r="C79" s="30" t="str">
        <f>'Trang thiet bi'!C67</f>
        <v>VP-MAYIN-03</v>
      </c>
      <c r="D79" s="30" t="str">
        <f>'Trang thiet bi'!E67</f>
        <v>VPHN</v>
      </c>
      <c r="E79" s="30">
        <f>'Trang thiet bi'!J67</f>
        <v>1</v>
      </c>
      <c r="F79" s="30" t="str">
        <f t="shared" si="2"/>
        <v>Đã dán</v>
      </c>
      <c r="G79" s="30" t="str">
        <f t="shared" si="2"/>
        <v>Đã dán</v>
      </c>
      <c r="H79" s="30" t="str">
        <f>'Trang thiet bi'!M67</f>
        <v>Bình thường</v>
      </c>
    </row>
    <row r="80" spans="1:8" x14ac:dyDescent="0.2">
      <c r="A80" s="30">
        <f>'Trang thiet bi'!A68</f>
        <v>56</v>
      </c>
      <c r="B80" s="30" t="str">
        <f>'Trang thiet bi'!B68</f>
        <v>Máy in Laser màu Brother MFC-L3750CDW</v>
      </c>
      <c r="C80" s="30" t="str">
        <f>'Trang thiet bi'!C68</f>
        <v>VP-MAYIN-04</v>
      </c>
      <c r="D80" s="30" t="str">
        <f>'Trang thiet bi'!E68</f>
        <v>VPHN</v>
      </c>
      <c r="E80" s="30">
        <f>'Trang thiet bi'!J68</f>
        <v>1</v>
      </c>
      <c r="F80" s="30" t="str">
        <f t="shared" si="2"/>
        <v>Đã dán</v>
      </c>
      <c r="G80" s="30" t="str">
        <f t="shared" si="2"/>
        <v>Đã dán</v>
      </c>
      <c r="H80" s="30" t="str">
        <f>'Trang thiet bi'!M68</f>
        <v>Bình thường</v>
      </c>
    </row>
    <row r="83" spans="2:6" ht="14.25" x14ac:dyDescent="0.2">
      <c r="B83" s="29" t="s">
        <v>94</v>
      </c>
      <c r="C83" s="29"/>
      <c r="D83" s="29"/>
      <c r="E83" s="29"/>
      <c r="F83" s="29" t="s">
        <v>93</v>
      </c>
    </row>
    <row r="89" spans="2:6" ht="14.25" x14ac:dyDescent="0.2">
      <c r="B89" s="29" t="s">
        <v>28</v>
      </c>
      <c r="C89" s="29"/>
      <c r="D89" s="29"/>
      <c r="E89" s="29"/>
      <c r="F89" s="29" t="s">
        <v>24</v>
      </c>
    </row>
  </sheetData>
  <printOptions horizontalCentered="1"/>
  <pageMargins left="0.45" right="0.2" top="0.5" bottom="0.5" header="0.3" footer="0.3"/>
  <pageSetup paperSize="9" scale="9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9D4B-823C-4D26-976C-D4C9D34317E6}">
  <sheetPr codeName="Sheet3"/>
  <dimension ref="A1:H205"/>
  <sheetViews>
    <sheetView workbookViewId="0">
      <selection activeCell="G2" sqref="G2"/>
    </sheetView>
  </sheetViews>
  <sheetFormatPr defaultRowHeight="12.75" x14ac:dyDescent="0.2"/>
  <cols>
    <col min="3" max="3" width="44.7109375" bestFit="1" customWidth="1"/>
    <col min="4" max="4" width="16.5703125" bestFit="1" customWidth="1"/>
    <col min="6" max="6" width="9.85546875" bestFit="1" customWidth="1"/>
    <col min="8" max="8" width="26.85546875" bestFit="1" customWidth="1"/>
  </cols>
  <sheetData>
    <row r="1" spans="1:8" x14ac:dyDescent="0.2">
      <c r="A1">
        <v>1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</row>
    <row r="2" spans="1:8" x14ac:dyDescent="0.2">
      <c r="B2" t="str">
        <f ca="1">IFERROR(MATCH($A$1,OFFSET('Trang thiet bi'!#REF!,'Nhãn KK'!$A2,0,1000),0)+'Nhãn KK'!$A2,"")</f>
        <v/>
      </c>
      <c r="C2" t="str">
        <f ca="1">IF(B2="","",_xlfn.XLOOKUP($B2,'Trang thiet bi'!#REF!,'Trang thiet bi'!B:B))</f>
        <v/>
      </c>
      <c r="D2" t="str">
        <f ca="1">IF(C2="","",_xlfn.XLOOKUP($B2,'Trang thiet bi'!#REF!,'Trang thiet bi'!C:C))</f>
        <v/>
      </c>
      <c r="E2">
        <v>31</v>
      </c>
      <c r="F2">
        <v>12</v>
      </c>
      <c r="G2">
        <v>2024</v>
      </c>
      <c r="H2" t="s">
        <v>307</v>
      </c>
    </row>
    <row r="3" spans="1:8" x14ac:dyDescent="0.2">
      <c r="B3" t="str">
        <f ca="1">IFERROR(MATCH($A$1,OFFSET('Trang thiet bi'!#REF!,'Nhãn KK'!$B2,0,1000),0)+'Nhãn KK'!$B2,"")</f>
        <v/>
      </c>
      <c r="C3" t="str">
        <f ca="1">IF(B3="","",_xlfn.XLOOKUP($B3,'Trang thiet bi'!#REF!,'Trang thiet bi'!B:B))</f>
        <v/>
      </c>
      <c r="D3" t="str">
        <f ca="1">IF(C3="","",_xlfn.XLOOKUP($B3,'Trang thiet bi'!#REF!,'Trang thiet bi'!C:C))</f>
        <v/>
      </c>
      <c r="E3">
        <v>31</v>
      </c>
      <c r="F3">
        <v>12</v>
      </c>
      <c r="G3">
        <v>2024</v>
      </c>
      <c r="H3" t="s">
        <v>307</v>
      </c>
    </row>
    <row r="4" spans="1:8" x14ac:dyDescent="0.2">
      <c r="B4" t="str">
        <f ca="1">IFERROR(MATCH($A$1,OFFSET('Trang thiet bi'!#REF!,'Nhãn KK'!$B3,0,1000),0)+'Nhãn KK'!$B3,"")</f>
        <v/>
      </c>
      <c r="C4" t="str">
        <f ca="1">IF(B4="","",_xlfn.XLOOKUP($B4,'Trang thiet bi'!#REF!,'Trang thiet bi'!B:B))</f>
        <v/>
      </c>
      <c r="D4" t="str">
        <f ca="1">IF(C4="","",_xlfn.XLOOKUP($B4,'Trang thiet bi'!#REF!,'Trang thiet bi'!C:C))</f>
        <v/>
      </c>
      <c r="E4">
        <v>31</v>
      </c>
      <c r="F4">
        <v>12</v>
      </c>
      <c r="G4">
        <v>2024</v>
      </c>
      <c r="H4" t="s">
        <v>307</v>
      </c>
    </row>
    <row r="5" spans="1:8" x14ac:dyDescent="0.2">
      <c r="B5" t="str">
        <f ca="1">IFERROR(MATCH($A$1,OFFSET('Trang thiet bi'!#REF!,'Nhãn KK'!$B4,0,1000),0)+'Nhãn KK'!$B4,"")</f>
        <v/>
      </c>
      <c r="C5" t="str">
        <f ca="1">IF(B5="","",_xlfn.XLOOKUP($B5,'Trang thiet bi'!#REF!,'Trang thiet bi'!B:B))</f>
        <v/>
      </c>
      <c r="D5" t="str">
        <f ca="1">IF(C5="","",_xlfn.XLOOKUP($B5,'Trang thiet bi'!#REF!,'Trang thiet bi'!C:C))</f>
        <v/>
      </c>
      <c r="E5">
        <v>31</v>
      </c>
      <c r="F5">
        <v>12</v>
      </c>
      <c r="G5">
        <v>2024</v>
      </c>
      <c r="H5" t="s">
        <v>307</v>
      </c>
    </row>
    <row r="6" spans="1:8" x14ac:dyDescent="0.2">
      <c r="B6" t="str">
        <f ca="1">IFERROR(MATCH($A$1,OFFSET('Trang thiet bi'!#REF!,'Nhãn KK'!$B5,0,1000),0)+'Nhãn KK'!$B5,"")</f>
        <v/>
      </c>
      <c r="C6" t="str">
        <f ca="1">IF(B6="","",_xlfn.XLOOKUP($B6,'Trang thiet bi'!#REF!,'Trang thiet bi'!B:B))</f>
        <v/>
      </c>
      <c r="D6" t="str">
        <f ca="1">IF(C6="","",_xlfn.XLOOKUP($B6,'Trang thiet bi'!#REF!,'Trang thiet bi'!C:C))</f>
        <v/>
      </c>
      <c r="E6">
        <v>31</v>
      </c>
      <c r="F6">
        <v>12</v>
      </c>
      <c r="G6">
        <v>2024</v>
      </c>
      <c r="H6" t="s">
        <v>307</v>
      </c>
    </row>
    <row r="7" spans="1:8" x14ac:dyDescent="0.2">
      <c r="B7" t="str">
        <f ca="1">IFERROR(MATCH($A$1,OFFSET('Trang thiet bi'!#REF!,'Nhãn KK'!$B6,0,1000),0)+'Nhãn KK'!$B6,"")</f>
        <v/>
      </c>
      <c r="C7" t="str">
        <f ca="1">IF(B7="","",_xlfn.XLOOKUP($B7,'Trang thiet bi'!#REF!,'Trang thiet bi'!B:B))</f>
        <v/>
      </c>
      <c r="D7" t="str">
        <f ca="1">IF(C7="","",_xlfn.XLOOKUP($B7,'Trang thiet bi'!#REF!,'Trang thiet bi'!C:C))</f>
        <v/>
      </c>
      <c r="E7">
        <v>31</v>
      </c>
      <c r="F7">
        <v>12</v>
      </c>
      <c r="G7">
        <v>2024</v>
      </c>
      <c r="H7" t="s">
        <v>307</v>
      </c>
    </row>
    <row r="8" spans="1:8" x14ac:dyDescent="0.2">
      <c r="B8" t="str">
        <f ca="1">IFERROR(MATCH($A$1,OFFSET('Trang thiet bi'!#REF!,'Nhãn KK'!$B7,0,1000),0)+'Nhãn KK'!$B7,"")</f>
        <v/>
      </c>
      <c r="C8" t="str">
        <f ca="1">IF(B8="","",_xlfn.XLOOKUP($B8,'Trang thiet bi'!#REF!,'Trang thiet bi'!B:B))</f>
        <v/>
      </c>
      <c r="D8" t="str">
        <f ca="1">IF(C8="","",_xlfn.XLOOKUP($B8,'Trang thiet bi'!#REF!,'Trang thiet bi'!C:C))</f>
        <v/>
      </c>
      <c r="E8">
        <v>31</v>
      </c>
      <c r="F8">
        <v>12</v>
      </c>
      <c r="G8">
        <v>2024</v>
      </c>
      <c r="H8" t="s">
        <v>307</v>
      </c>
    </row>
    <row r="9" spans="1:8" x14ac:dyDescent="0.2">
      <c r="B9" t="str">
        <f ca="1">IFERROR(MATCH($A$1,OFFSET('Trang thiet bi'!#REF!,'Nhãn KK'!$B8,0,1000),0)+'Nhãn KK'!$B8,"")</f>
        <v/>
      </c>
      <c r="C9" t="str">
        <f ca="1">IF(B9="","",_xlfn.XLOOKUP($B9,'Trang thiet bi'!#REF!,'Trang thiet bi'!B:B))</f>
        <v/>
      </c>
      <c r="D9" t="str">
        <f ca="1">IF(C9="","",_xlfn.XLOOKUP($B9,'Trang thiet bi'!#REF!,'Trang thiet bi'!C:C))</f>
        <v/>
      </c>
      <c r="E9">
        <v>31</v>
      </c>
      <c r="F9">
        <v>12</v>
      </c>
      <c r="G9">
        <v>2024</v>
      </c>
      <c r="H9" t="s">
        <v>307</v>
      </c>
    </row>
    <row r="10" spans="1:8" x14ac:dyDescent="0.2">
      <c r="B10" t="str">
        <f ca="1">IFERROR(MATCH($A$1,OFFSET('Trang thiet bi'!#REF!,'Nhãn KK'!$B9,0,1000),0)+'Nhãn KK'!$B9,"")</f>
        <v/>
      </c>
      <c r="C10" t="str">
        <f ca="1">IF(B10="","",_xlfn.XLOOKUP($B10,'Trang thiet bi'!#REF!,'Trang thiet bi'!B:B))</f>
        <v/>
      </c>
      <c r="D10" t="str">
        <f ca="1">IF(C10="","",_xlfn.XLOOKUP($B10,'Trang thiet bi'!#REF!,'Trang thiet bi'!C:C))</f>
        <v/>
      </c>
      <c r="E10">
        <v>31</v>
      </c>
      <c r="F10">
        <v>12</v>
      </c>
      <c r="G10">
        <v>2024</v>
      </c>
      <c r="H10" t="s">
        <v>307</v>
      </c>
    </row>
    <row r="11" spans="1:8" x14ac:dyDescent="0.2">
      <c r="B11" t="str">
        <f ca="1">IFERROR(MATCH($A$1,OFFSET('Trang thiet bi'!#REF!,'Nhãn KK'!$B10,0,1000),0)+'Nhãn KK'!$B10,"")</f>
        <v/>
      </c>
      <c r="C11" t="str">
        <f ca="1">IF(B11="","",_xlfn.XLOOKUP($B11,'Trang thiet bi'!#REF!,'Trang thiet bi'!B:B))</f>
        <v/>
      </c>
      <c r="D11" t="str">
        <f ca="1">IF(C11="","",_xlfn.XLOOKUP($B11,'Trang thiet bi'!#REF!,'Trang thiet bi'!C:C))</f>
        <v/>
      </c>
      <c r="E11">
        <v>31</v>
      </c>
      <c r="F11">
        <v>12</v>
      </c>
      <c r="G11">
        <v>2024</v>
      </c>
      <c r="H11" t="s">
        <v>307</v>
      </c>
    </row>
    <row r="12" spans="1:8" x14ac:dyDescent="0.2">
      <c r="B12" t="str">
        <f ca="1">IFERROR(MATCH($A$1,OFFSET('Trang thiet bi'!#REF!,'Nhãn KK'!$B11,0,1000),0)+'Nhãn KK'!$B11,"")</f>
        <v/>
      </c>
      <c r="C12" t="str">
        <f ca="1">IF(B12="","",_xlfn.XLOOKUP($B12,'Trang thiet bi'!#REF!,'Trang thiet bi'!B:B))</f>
        <v/>
      </c>
      <c r="D12" t="str">
        <f ca="1">IF(C12="","",_xlfn.XLOOKUP($B12,'Trang thiet bi'!#REF!,'Trang thiet bi'!C:C))</f>
        <v/>
      </c>
      <c r="E12">
        <v>31</v>
      </c>
      <c r="F12">
        <v>12</v>
      </c>
      <c r="G12">
        <v>2024</v>
      </c>
      <c r="H12" t="s">
        <v>307</v>
      </c>
    </row>
    <row r="13" spans="1:8" x14ac:dyDescent="0.2">
      <c r="B13" t="str">
        <f ca="1">IFERROR(MATCH($A$1,OFFSET('Trang thiet bi'!#REF!,'Nhãn KK'!$B12,0,1000),0)+'Nhãn KK'!$B12,"")</f>
        <v/>
      </c>
      <c r="C13" t="str">
        <f ca="1">IF(B13="","",_xlfn.XLOOKUP($B13,'Trang thiet bi'!#REF!,'Trang thiet bi'!B:B))</f>
        <v/>
      </c>
      <c r="D13" t="str">
        <f ca="1">IF(C13="","",_xlfn.XLOOKUP($B13,'Trang thiet bi'!#REF!,'Trang thiet bi'!C:C))</f>
        <v/>
      </c>
      <c r="E13">
        <v>31</v>
      </c>
      <c r="F13">
        <v>12</v>
      </c>
      <c r="G13">
        <v>2024</v>
      </c>
      <c r="H13" t="s">
        <v>307</v>
      </c>
    </row>
    <row r="14" spans="1:8" x14ac:dyDescent="0.2">
      <c r="B14" t="str">
        <f ca="1">IFERROR(MATCH($A$1,OFFSET('Trang thiet bi'!#REF!,'Nhãn KK'!$B13,0,1000),0)+'Nhãn KK'!$B13,"")</f>
        <v/>
      </c>
      <c r="C14" t="str">
        <f ca="1">IF(B14="","",_xlfn.XLOOKUP($B14,'Trang thiet bi'!#REF!,'Trang thiet bi'!B:B))</f>
        <v/>
      </c>
      <c r="D14" t="str">
        <f ca="1">IF(C14="","",_xlfn.XLOOKUP($B14,'Trang thiet bi'!#REF!,'Trang thiet bi'!C:C))</f>
        <v/>
      </c>
      <c r="E14">
        <v>31</v>
      </c>
      <c r="F14">
        <v>12</v>
      </c>
      <c r="G14">
        <v>2024</v>
      </c>
      <c r="H14" t="s">
        <v>307</v>
      </c>
    </row>
    <row r="15" spans="1:8" x14ac:dyDescent="0.2">
      <c r="B15" t="str">
        <f ca="1">IFERROR(MATCH($A$1,OFFSET('Trang thiet bi'!#REF!,'Nhãn KK'!$B14,0,1000),0)+'Nhãn KK'!$B14,"")</f>
        <v/>
      </c>
      <c r="C15" t="str">
        <f ca="1">IF(B15="","",_xlfn.XLOOKUP($B15,'Trang thiet bi'!#REF!,'Trang thiet bi'!B:B))</f>
        <v/>
      </c>
      <c r="D15" t="str">
        <f ca="1">IF(C15="","",_xlfn.XLOOKUP($B15,'Trang thiet bi'!#REF!,'Trang thiet bi'!C:C))</f>
        <v/>
      </c>
      <c r="E15">
        <v>31</v>
      </c>
      <c r="F15">
        <v>12</v>
      </c>
      <c r="G15">
        <v>2024</v>
      </c>
      <c r="H15" t="s">
        <v>307</v>
      </c>
    </row>
    <row r="16" spans="1:8" x14ac:dyDescent="0.2">
      <c r="B16" t="str">
        <f ca="1">IFERROR(MATCH($A$1,OFFSET('Trang thiet bi'!#REF!,'Nhãn KK'!$B15,0,1000),0)+'Nhãn KK'!$B15,"")</f>
        <v/>
      </c>
      <c r="C16" t="str">
        <f ca="1">IF(B16="","",_xlfn.XLOOKUP($B16,'Trang thiet bi'!#REF!,'Trang thiet bi'!B:B))</f>
        <v/>
      </c>
      <c r="D16" t="str">
        <f ca="1">IF(C16="","",_xlfn.XLOOKUP($B16,'Trang thiet bi'!#REF!,'Trang thiet bi'!C:C))</f>
        <v/>
      </c>
      <c r="E16">
        <v>31</v>
      </c>
      <c r="F16">
        <v>12</v>
      </c>
      <c r="G16">
        <v>2024</v>
      </c>
      <c r="H16" t="s">
        <v>307</v>
      </c>
    </row>
    <row r="17" spans="2:8" x14ac:dyDescent="0.2">
      <c r="B17" t="str">
        <f ca="1">IFERROR(MATCH($A$1,OFFSET('Trang thiet bi'!#REF!,'Nhãn KK'!$B16,0,1000),0)+'Nhãn KK'!$B16,"")</f>
        <v/>
      </c>
      <c r="C17" t="str">
        <f ca="1">IF(B17="","",_xlfn.XLOOKUP($B17,'Trang thiet bi'!#REF!,'Trang thiet bi'!B:B))</f>
        <v/>
      </c>
      <c r="D17" t="str">
        <f ca="1">IF(C17="","",_xlfn.XLOOKUP($B17,'Trang thiet bi'!#REF!,'Trang thiet bi'!C:C))</f>
        <v/>
      </c>
      <c r="E17">
        <v>31</v>
      </c>
      <c r="F17">
        <v>12</v>
      </c>
      <c r="G17">
        <v>2024</v>
      </c>
      <c r="H17" t="s">
        <v>307</v>
      </c>
    </row>
    <row r="18" spans="2:8" x14ac:dyDescent="0.2">
      <c r="B18" t="str">
        <f ca="1">IFERROR(MATCH($A$1,OFFSET('Trang thiet bi'!#REF!,'Nhãn KK'!$B17,0,1000),0)+'Nhãn KK'!$B17,"")</f>
        <v/>
      </c>
      <c r="C18" t="str">
        <f ca="1">IF(B18="","",_xlfn.XLOOKUP($B18,'Trang thiet bi'!#REF!,'Trang thiet bi'!B:B))</f>
        <v/>
      </c>
      <c r="D18" t="str">
        <f ca="1">IF(C18="","",_xlfn.XLOOKUP($B18,'Trang thiet bi'!#REF!,'Trang thiet bi'!C:C))</f>
        <v/>
      </c>
      <c r="E18">
        <v>31</v>
      </c>
      <c r="F18">
        <v>12</v>
      </c>
      <c r="G18">
        <v>2024</v>
      </c>
      <c r="H18" t="s">
        <v>307</v>
      </c>
    </row>
    <row r="19" spans="2:8" x14ac:dyDescent="0.2">
      <c r="B19" t="str">
        <f ca="1">IFERROR(MATCH($A$1,OFFSET('Trang thiet bi'!#REF!,'Nhãn KK'!$B18,0,1000),0)+'Nhãn KK'!$B18,"")</f>
        <v/>
      </c>
      <c r="C19" t="str">
        <f ca="1">IF(B19="","",_xlfn.XLOOKUP($B19,'Trang thiet bi'!#REF!,'Trang thiet bi'!B:B))</f>
        <v/>
      </c>
      <c r="D19" t="str">
        <f ca="1">IF(C19="","",_xlfn.XLOOKUP($B19,'Trang thiet bi'!#REF!,'Trang thiet bi'!C:C))</f>
        <v/>
      </c>
      <c r="E19">
        <v>31</v>
      </c>
      <c r="F19">
        <v>12</v>
      </c>
      <c r="G19">
        <v>2024</v>
      </c>
      <c r="H19" t="s">
        <v>307</v>
      </c>
    </row>
    <row r="20" spans="2:8" x14ac:dyDescent="0.2">
      <c r="B20" t="str">
        <f ca="1">IFERROR(MATCH($A$1,OFFSET('Trang thiet bi'!#REF!,'Nhãn KK'!$B19,0,1000),0)+'Nhãn KK'!$B19,"")</f>
        <v/>
      </c>
      <c r="C20" t="str">
        <f ca="1">IF(B20="","",_xlfn.XLOOKUP($B20,'Trang thiet bi'!#REF!,'Trang thiet bi'!B:B))</f>
        <v/>
      </c>
      <c r="D20" t="str">
        <f ca="1">IF(C20="","",_xlfn.XLOOKUP($B20,'Trang thiet bi'!#REF!,'Trang thiet bi'!C:C))</f>
        <v/>
      </c>
      <c r="E20">
        <v>31</v>
      </c>
      <c r="F20">
        <v>12</v>
      </c>
      <c r="G20">
        <v>2024</v>
      </c>
      <c r="H20" t="s">
        <v>307</v>
      </c>
    </row>
    <row r="21" spans="2:8" x14ac:dyDescent="0.2">
      <c r="B21" t="str">
        <f ca="1">IFERROR(MATCH($A$1,OFFSET('Trang thiet bi'!#REF!,'Nhãn KK'!$B20,0,1000),0)+'Nhãn KK'!$B20,"")</f>
        <v/>
      </c>
      <c r="C21" t="str">
        <f ca="1">IF(B21="","",_xlfn.XLOOKUP($B21,'Trang thiet bi'!#REF!,'Trang thiet bi'!B:B))</f>
        <v/>
      </c>
      <c r="D21" t="str">
        <f ca="1">IF(C21="","",_xlfn.XLOOKUP($B21,'Trang thiet bi'!#REF!,'Trang thiet bi'!C:C))</f>
        <v/>
      </c>
      <c r="E21">
        <v>31</v>
      </c>
      <c r="F21">
        <v>12</v>
      </c>
      <c r="G21">
        <v>2024</v>
      </c>
      <c r="H21" t="s">
        <v>307</v>
      </c>
    </row>
    <row r="22" spans="2:8" x14ac:dyDescent="0.2">
      <c r="B22" t="str">
        <f ca="1">IFERROR(MATCH($A$1,OFFSET('Trang thiet bi'!#REF!,'Nhãn KK'!$B21,0,1000),0)+'Nhãn KK'!$B21,"")</f>
        <v/>
      </c>
      <c r="C22" t="str">
        <f ca="1">IF(B22="","",_xlfn.XLOOKUP($B22,'Trang thiet bi'!#REF!,'Trang thiet bi'!B:B))</f>
        <v/>
      </c>
      <c r="D22" t="str">
        <f ca="1">IF(C22="","",_xlfn.XLOOKUP($B22,'Trang thiet bi'!#REF!,'Trang thiet bi'!C:C))</f>
        <v/>
      </c>
      <c r="E22">
        <v>31</v>
      </c>
      <c r="F22">
        <v>12</v>
      </c>
      <c r="G22">
        <v>2024</v>
      </c>
      <c r="H22" t="s">
        <v>307</v>
      </c>
    </row>
    <row r="23" spans="2:8" x14ac:dyDescent="0.2">
      <c r="B23" t="str">
        <f ca="1">IFERROR(MATCH($A$1,OFFSET('Trang thiet bi'!#REF!,'Nhãn KK'!$B22,0,1000),0)+'Nhãn KK'!$B22,"")</f>
        <v/>
      </c>
      <c r="C23" t="str">
        <f ca="1">IF(B23="","",_xlfn.XLOOKUP($B23,'Trang thiet bi'!#REF!,'Trang thiet bi'!B:B))</f>
        <v/>
      </c>
      <c r="D23" t="str">
        <f ca="1">IF(C23="","",_xlfn.XLOOKUP($B23,'Trang thiet bi'!#REF!,'Trang thiet bi'!C:C))</f>
        <v/>
      </c>
      <c r="E23">
        <v>31</v>
      </c>
      <c r="F23">
        <v>12</v>
      </c>
      <c r="G23">
        <v>2024</v>
      </c>
      <c r="H23" t="s">
        <v>307</v>
      </c>
    </row>
    <row r="24" spans="2:8" x14ac:dyDescent="0.2">
      <c r="B24" t="str">
        <f ca="1">IFERROR(MATCH($A$1,OFFSET('Trang thiet bi'!#REF!,'Nhãn KK'!$B23,0,1000),0)+'Nhãn KK'!$B23,"")</f>
        <v/>
      </c>
      <c r="C24" t="str">
        <f ca="1">IF(B24="","",_xlfn.XLOOKUP($B24,'Trang thiet bi'!#REF!,'Trang thiet bi'!B:B))</f>
        <v/>
      </c>
      <c r="D24" t="str">
        <f ca="1">IF(C24="","",_xlfn.XLOOKUP($B24,'Trang thiet bi'!#REF!,'Trang thiet bi'!C:C))</f>
        <v/>
      </c>
      <c r="E24">
        <v>31</v>
      </c>
      <c r="F24">
        <v>12</v>
      </c>
      <c r="G24">
        <v>2024</v>
      </c>
      <c r="H24" t="s">
        <v>307</v>
      </c>
    </row>
    <row r="25" spans="2:8" x14ac:dyDescent="0.2">
      <c r="B25" t="str">
        <f ca="1">IFERROR(MATCH($A$1,OFFSET('Trang thiet bi'!#REF!,'Nhãn KK'!$B24,0,1000),0)+'Nhãn KK'!$B24,"")</f>
        <v/>
      </c>
      <c r="C25" t="str">
        <f ca="1">IF(B25="","",_xlfn.XLOOKUP($B25,'Trang thiet bi'!#REF!,'Trang thiet bi'!B:B))</f>
        <v/>
      </c>
      <c r="D25" t="str">
        <f ca="1">IF(C25="","",_xlfn.XLOOKUP($B25,'Trang thiet bi'!#REF!,'Trang thiet bi'!C:C))</f>
        <v/>
      </c>
      <c r="E25">
        <v>31</v>
      </c>
      <c r="F25">
        <v>12</v>
      </c>
      <c r="G25">
        <v>2024</v>
      </c>
      <c r="H25" t="s">
        <v>307</v>
      </c>
    </row>
    <row r="26" spans="2:8" x14ac:dyDescent="0.2">
      <c r="B26" t="str">
        <f ca="1">IFERROR(MATCH($A$1,OFFSET('Trang thiet bi'!#REF!,'Nhãn KK'!$B25,0,1000),0)+'Nhãn KK'!$B25,"")</f>
        <v/>
      </c>
      <c r="C26" t="str">
        <f ca="1">IF(B26="","",_xlfn.XLOOKUP($B26,'Trang thiet bi'!#REF!,'Trang thiet bi'!B:B))</f>
        <v/>
      </c>
      <c r="D26" t="str">
        <f ca="1">IF(C26="","",_xlfn.XLOOKUP($B26,'Trang thiet bi'!#REF!,'Trang thiet bi'!C:C))</f>
        <v/>
      </c>
      <c r="E26">
        <v>31</v>
      </c>
      <c r="F26">
        <v>12</v>
      </c>
      <c r="G26">
        <v>2024</v>
      </c>
      <c r="H26" t="s">
        <v>307</v>
      </c>
    </row>
    <row r="27" spans="2:8" x14ac:dyDescent="0.2">
      <c r="B27" t="str">
        <f ca="1">IFERROR(MATCH($A$1,OFFSET('Trang thiet bi'!#REF!,'Nhãn KK'!$B26,0,1000),0)+'Nhãn KK'!$B26,"")</f>
        <v/>
      </c>
      <c r="C27" t="str">
        <f ca="1">IF(B27="","",_xlfn.XLOOKUP($B27,'Trang thiet bi'!#REF!,'Trang thiet bi'!B:B))</f>
        <v/>
      </c>
      <c r="D27" t="str">
        <f ca="1">IF(C27="","",_xlfn.XLOOKUP($B27,'Trang thiet bi'!#REF!,'Trang thiet bi'!C:C))</f>
        <v/>
      </c>
      <c r="E27">
        <v>31</v>
      </c>
      <c r="F27">
        <v>12</v>
      </c>
      <c r="G27">
        <v>2024</v>
      </c>
      <c r="H27" t="s">
        <v>307</v>
      </c>
    </row>
    <row r="28" spans="2:8" x14ac:dyDescent="0.2">
      <c r="B28" t="str">
        <f ca="1">IFERROR(MATCH($A$1,OFFSET('Trang thiet bi'!#REF!,'Nhãn KK'!$B27,0,1000),0)+'Nhãn KK'!$B27,"")</f>
        <v/>
      </c>
      <c r="C28" t="str">
        <f ca="1">IF(B28="","",_xlfn.XLOOKUP($B28,'Trang thiet bi'!#REF!,'Trang thiet bi'!B:B))</f>
        <v/>
      </c>
      <c r="D28" t="str">
        <f ca="1">IF(C28="","",_xlfn.XLOOKUP($B28,'Trang thiet bi'!#REF!,'Trang thiet bi'!C:C))</f>
        <v/>
      </c>
      <c r="E28">
        <v>31</v>
      </c>
      <c r="F28">
        <v>12</v>
      </c>
      <c r="G28">
        <v>2024</v>
      </c>
      <c r="H28" t="s">
        <v>307</v>
      </c>
    </row>
    <row r="29" spans="2:8" x14ac:dyDescent="0.2">
      <c r="B29" t="str">
        <f ca="1">IFERROR(MATCH($A$1,OFFSET('Trang thiet bi'!#REF!,'Nhãn KK'!$B28,0,1000),0)+'Nhãn KK'!$B28,"")</f>
        <v/>
      </c>
      <c r="C29" t="str">
        <f ca="1">IF(B29="","",_xlfn.XLOOKUP($B29,'Trang thiet bi'!#REF!,'Trang thiet bi'!B:B))</f>
        <v/>
      </c>
      <c r="D29" t="str">
        <f ca="1">IF(C29="","",_xlfn.XLOOKUP($B29,'Trang thiet bi'!#REF!,'Trang thiet bi'!C:C))</f>
        <v/>
      </c>
      <c r="E29">
        <v>31</v>
      </c>
      <c r="F29">
        <v>12</v>
      </c>
      <c r="G29">
        <v>2024</v>
      </c>
      <c r="H29" t="s">
        <v>307</v>
      </c>
    </row>
    <row r="30" spans="2:8" x14ac:dyDescent="0.2">
      <c r="B30" t="str">
        <f ca="1">IFERROR(MATCH($A$1,OFFSET('Trang thiet bi'!#REF!,'Nhãn KK'!$B29,0,1000),0)+'Nhãn KK'!$B29,"")</f>
        <v/>
      </c>
      <c r="C30" t="str">
        <f ca="1">IF(B30="","",_xlfn.XLOOKUP($B30,'Trang thiet bi'!#REF!,'Trang thiet bi'!B:B))</f>
        <v/>
      </c>
      <c r="D30" t="str">
        <f ca="1">IF(C30="","",_xlfn.XLOOKUP($B30,'Trang thiet bi'!#REF!,'Trang thiet bi'!C:C))</f>
        <v/>
      </c>
      <c r="E30">
        <v>31</v>
      </c>
      <c r="F30">
        <v>12</v>
      </c>
      <c r="G30">
        <v>2024</v>
      </c>
      <c r="H30" t="s">
        <v>307</v>
      </c>
    </row>
    <row r="31" spans="2:8" x14ac:dyDescent="0.2">
      <c r="B31" t="str">
        <f ca="1">IFERROR(MATCH($A$1,OFFSET('Trang thiet bi'!#REF!,'Nhãn KK'!$B30,0,1000),0)+'Nhãn KK'!$B30,"")</f>
        <v/>
      </c>
      <c r="C31" t="str">
        <f ca="1">IF(B31="","",_xlfn.XLOOKUP($B31,'Trang thiet bi'!#REF!,'Trang thiet bi'!B:B))</f>
        <v/>
      </c>
      <c r="D31" t="str">
        <f ca="1">IF(C31="","",_xlfn.XLOOKUP($B31,'Trang thiet bi'!#REF!,'Trang thiet bi'!C:C))</f>
        <v/>
      </c>
      <c r="E31">
        <v>31</v>
      </c>
      <c r="F31">
        <v>12</v>
      </c>
      <c r="G31">
        <v>2024</v>
      </c>
      <c r="H31" t="s">
        <v>307</v>
      </c>
    </row>
    <row r="32" spans="2:8" x14ac:dyDescent="0.2">
      <c r="B32" t="str">
        <f ca="1">IFERROR(MATCH($A$1,OFFSET('Trang thiet bi'!#REF!,'Nhãn KK'!$B31,0,1000),0)+'Nhãn KK'!$B31,"")</f>
        <v/>
      </c>
      <c r="C32" t="str">
        <f ca="1">IF(B32="","",_xlfn.XLOOKUP($B32,'Trang thiet bi'!#REF!,'Trang thiet bi'!B:B))</f>
        <v/>
      </c>
      <c r="D32" t="str">
        <f ca="1">IF(C32="","",_xlfn.XLOOKUP($B32,'Trang thiet bi'!#REF!,'Trang thiet bi'!C:C))</f>
        <v/>
      </c>
      <c r="E32">
        <v>31</v>
      </c>
      <c r="F32">
        <v>12</v>
      </c>
      <c r="G32">
        <v>2024</v>
      </c>
      <c r="H32" t="s">
        <v>307</v>
      </c>
    </row>
    <row r="33" spans="2:8" x14ac:dyDescent="0.2">
      <c r="B33" t="str">
        <f ca="1">IFERROR(MATCH($A$1,OFFSET('Trang thiet bi'!#REF!,'Nhãn KK'!$B32,0,1000),0)+'Nhãn KK'!$B32,"")</f>
        <v/>
      </c>
      <c r="C33" t="str">
        <f ca="1">IF(B33="","",_xlfn.XLOOKUP($B33,'Trang thiet bi'!#REF!,'Trang thiet bi'!B:B))</f>
        <v/>
      </c>
      <c r="D33" t="str">
        <f ca="1">IF(C33="","",_xlfn.XLOOKUP($B33,'Trang thiet bi'!#REF!,'Trang thiet bi'!C:C))</f>
        <v/>
      </c>
      <c r="E33">
        <v>31</v>
      </c>
      <c r="F33">
        <v>12</v>
      </c>
      <c r="G33">
        <v>2024</v>
      </c>
      <c r="H33" t="s">
        <v>307</v>
      </c>
    </row>
    <row r="34" spans="2:8" x14ac:dyDescent="0.2">
      <c r="B34" t="str">
        <f ca="1">IFERROR(MATCH($A$1,OFFSET('Trang thiet bi'!#REF!,'Nhãn KK'!$B33,0,1000),0)+'Nhãn KK'!$B33,"")</f>
        <v/>
      </c>
      <c r="C34" t="str">
        <f ca="1">IF(B34="","",_xlfn.XLOOKUP($B34,'Trang thiet bi'!#REF!,'Trang thiet bi'!B:B))</f>
        <v/>
      </c>
      <c r="D34" t="str">
        <f ca="1">IF(C34="","",_xlfn.XLOOKUP($B34,'Trang thiet bi'!#REF!,'Trang thiet bi'!C:C))</f>
        <v/>
      </c>
      <c r="E34">
        <v>31</v>
      </c>
      <c r="F34">
        <v>12</v>
      </c>
      <c r="G34">
        <v>2024</v>
      </c>
      <c r="H34" t="s">
        <v>307</v>
      </c>
    </row>
    <row r="35" spans="2:8" x14ac:dyDescent="0.2">
      <c r="B35" t="str">
        <f ca="1">IFERROR(MATCH($A$1,OFFSET('Trang thiet bi'!#REF!,'Nhãn KK'!$B34,0,1000),0)+'Nhãn KK'!$B34,"")</f>
        <v/>
      </c>
      <c r="C35" t="str">
        <f ca="1">IF(B35="","",_xlfn.XLOOKUP($B35,'Trang thiet bi'!#REF!,'Trang thiet bi'!B:B))</f>
        <v/>
      </c>
      <c r="D35" t="str">
        <f ca="1">IF(C35="","",_xlfn.XLOOKUP($B35,'Trang thiet bi'!#REF!,'Trang thiet bi'!C:C))</f>
        <v/>
      </c>
      <c r="E35">
        <v>31</v>
      </c>
      <c r="F35">
        <v>12</v>
      </c>
      <c r="G35">
        <v>2024</v>
      </c>
      <c r="H35" t="s">
        <v>307</v>
      </c>
    </row>
    <row r="36" spans="2:8" x14ac:dyDescent="0.2">
      <c r="B36" t="str">
        <f ca="1">IFERROR(MATCH($A$1,OFFSET('Trang thiet bi'!#REF!,'Nhãn KK'!$B35,0,1000),0)+'Nhãn KK'!$B35,"")</f>
        <v/>
      </c>
      <c r="C36" t="str">
        <f ca="1">IF(B36="","",_xlfn.XLOOKUP($B36,'Trang thiet bi'!#REF!,'Trang thiet bi'!B:B))</f>
        <v/>
      </c>
      <c r="D36" t="str">
        <f ca="1">IF(C36="","",_xlfn.XLOOKUP($B36,'Trang thiet bi'!#REF!,'Trang thiet bi'!C:C))</f>
        <v/>
      </c>
      <c r="E36">
        <v>31</v>
      </c>
      <c r="F36">
        <v>12</v>
      </c>
      <c r="G36">
        <v>2024</v>
      </c>
      <c r="H36" t="s">
        <v>307</v>
      </c>
    </row>
    <row r="37" spans="2:8" x14ac:dyDescent="0.2">
      <c r="B37" t="str">
        <f ca="1">IFERROR(MATCH($A$1,OFFSET('Trang thiet bi'!#REF!,'Nhãn KK'!$B36,0,1000),0)+'Nhãn KK'!$B36,"")</f>
        <v/>
      </c>
      <c r="C37" t="str">
        <f ca="1">IF(B37="","",_xlfn.XLOOKUP($B37,'Trang thiet bi'!#REF!,'Trang thiet bi'!B:B))</f>
        <v/>
      </c>
      <c r="D37" t="str">
        <f ca="1">IF(C37="","",_xlfn.XLOOKUP($B37,'Trang thiet bi'!#REF!,'Trang thiet bi'!C:C))</f>
        <v/>
      </c>
      <c r="E37">
        <v>31</v>
      </c>
      <c r="F37">
        <v>12</v>
      </c>
      <c r="G37">
        <v>2024</v>
      </c>
      <c r="H37" t="s">
        <v>307</v>
      </c>
    </row>
    <row r="38" spans="2:8" x14ac:dyDescent="0.2">
      <c r="B38" t="str">
        <f ca="1">IFERROR(MATCH($A$1,OFFSET('Trang thiet bi'!#REF!,'Nhãn KK'!$B37,0,1000),0)+'Nhãn KK'!$B37,"")</f>
        <v/>
      </c>
      <c r="C38" t="str">
        <f ca="1">IF(B38="","",_xlfn.XLOOKUP($B38,'Trang thiet bi'!#REF!,'Trang thiet bi'!B:B))</f>
        <v/>
      </c>
      <c r="D38" t="str">
        <f ca="1">IF(C38="","",_xlfn.XLOOKUP($B38,'Trang thiet bi'!#REF!,'Trang thiet bi'!C:C))</f>
        <v/>
      </c>
      <c r="E38">
        <v>31</v>
      </c>
      <c r="F38">
        <v>12</v>
      </c>
      <c r="G38">
        <v>2024</v>
      </c>
      <c r="H38" t="s">
        <v>307</v>
      </c>
    </row>
    <row r="39" spans="2:8" x14ac:dyDescent="0.2">
      <c r="B39" t="str">
        <f ca="1">IFERROR(MATCH($A$1,OFFSET('Trang thiet bi'!#REF!,'Nhãn KK'!$B38,0,1000),0)+'Nhãn KK'!$B38,"")</f>
        <v/>
      </c>
      <c r="C39" t="str">
        <f ca="1">IF(B39="","",_xlfn.XLOOKUP($B39,'Trang thiet bi'!#REF!,'Trang thiet bi'!B:B))</f>
        <v/>
      </c>
      <c r="D39" t="str">
        <f ca="1">IF(C39="","",_xlfn.XLOOKUP($B39,'Trang thiet bi'!#REF!,'Trang thiet bi'!C:C))</f>
        <v/>
      </c>
      <c r="E39">
        <v>31</v>
      </c>
      <c r="F39">
        <v>12</v>
      </c>
      <c r="G39">
        <v>2024</v>
      </c>
      <c r="H39" t="s">
        <v>307</v>
      </c>
    </row>
    <row r="40" spans="2:8" x14ac:dyDescent="0.2">
      <c r="B40" t="str">
        <f ca="1">IFERROR(MATCH($A$1,OFFSET('Trang thiet bi'!#REF!,'Nhãn KK'!$B39,0,1000),0)+'Nhãn KK'!$B39,"")</f>
        <v/>
      </c>
      <c r="C40" t="str">
        <f ca="1">IF(B40="","",_xlfn.XLOOKUP($B40,'Trang thiet bi'!#REF!,'Trang thiet bi'!B:B))</f>
        <v/>
      </c>
      <c r="D40" t="str">
        <f ca="1">IF(C40="","",_xlfn.XLOOKUP($B40,'Trang thiet bi'!#REF!,'Trang thiet bi'!C:C))</f>
        <v/>
      </c>
      <c r="E40">
        <v>31</v>
      </c>
      <c r="F40">
        <v>12</v>
      </c>
      <c r="G40">
        <v>2024</v>
      </c>
      <c r="H40" t="s">
        <v>307</v>
      </c>
    </row>
    <row r="41" spans="2:8" x14ac:dyDescent="0.2">
      <c r="B41" t="str">
        <f ca="1">IFERROR(MATCH($A$1,OFFSET('Trang thiet bi'!#REF!,'Nhãn KK'!$B40,0,1000),0)+'Nhãn KK'!$B40,"")</f>
        <v/>
      </c>
      <c r="C41" t="str">
        <f ca="1">IF(B41="","",_xlfn.XLOOKUP($B41,'Trang thiet bi'!#REF!,'Trang thiet bi'!B:B))</f>
        <v/>
      </c>
      <c r="D41" t="str">
        <f ca="1">IF(C41="","",_xlfn.XLOOKUP($B41,'Trang thiet bi'!#REF!,'Trang thiet bi'!C:C))</f>
        <v/>
      </c>
      <c r="E41">
        <v>31</v>
      </c>
      <c r="F41">
        <v>12</v>
      </c>
      <c r="G41">
        <v>2024</v>
      </c>
      <c r="H41" t="s">
        <v>307</v>
      </c>
    </row>
    <row r="42" spans="2:8" x14ac:dyDescent="0.2">
      <c r="B42" t="str">
        <f ca="1">IFERROR(MATCH($A$1,OFFSET('Trang thiet bi'!#REF!,'Nhãn KK'!$B41,0,1000),0)+'Nhãn KK'!$B41,"")</f>
        <v/>
      </c>
      <c r="C42" t="str">
        <f ca="1">IF(B42="","",_xlfn.XLOOKUP($B42,'Trang thiet bi'!#REF!,'Trang thiet bi'!B:B))</f>
        <v/>
      </c>
      <c r="D42" t="str">
        <f ca="1">IF(C42="","",_xlfn.XLOOKUP($B42,'Trang thiet bi'!#REF!,'Trang thiet bi'!C:C))</f>
        <v/>
      </c>
      <c r="E42">
        <v>31</v>
      </c>
      <c r="F42">
        <v>12</v>
      </c>
      <c r="G42">
        <v>2024</v>
      </c>
      <c r="H42" t="s">
        <v>307</v>
      </c>
    </row>
    <row r="43" spans="2:8" x14ac:dyDescent="0.2">
      <c r="B43" t="str">
        <f ca="1">IFERROR(MATCH($A$1,OFFSET('Trang thiet bi'!#REF!,'Nhãn KK'!$B42,0,1000),0)+'Nhãn KK'!$B42,"")</f>
        <v/>
      </c>
      <c r="C43" t="str">
        <f ca="1">IF(B43="","",_xlfn.XLOOKUP($B43,'Trang thiet bi'!#REF!,'Trang thiet bi'!B:B))</f>
        <v/>
      </c>
      <c r="D43" t="str">
        <f ca="1">IF(C43="","",_xlfn.XLOOKUP($B43,'Trang thiet bi'!#REF!,'Trang thiet bi'!C:C))</f>
        <v/>
      </c>
      <c r="E43">
        <v>31</v>
      </c>
      <c r="F43">
        <v>12</v>
      </c>
      <c r="G43">
        <v>2024</v>
      </c>
      <c r="H43" t="s">
        <v>307</v>
      </c>
    </row>
    <row r="44" spans="2:8" x14ac:dyDescent="0.2">
      <c r="B44" t="str">
        <f ca="1">IFERROR(MATCH($A$1,OFFSET('Trang thiet bi'!#REF!,'Nhãn KK'!$B43,0,1000),0)+'Nhãn KK'!$B43,"")</f>
        <v/>
      </c>
      <c r="C44" t="str">
        <f ca="1">IF(B44="","",_xlfn.XLOOKUP($B44,'Trang thiet bi'!#REF!,'Trang thiet bi'!B:B))</f>
        <v/>
      </c>
      <c r="D44" t="str">
        <f ca="1">IF(C44="","",_xlfn.XLOOKUP($B44,'Trang thiet bi'!#REF!,'Trang thiet bi'!C:C))</f>
        <v/>
      </c>
      <c r="E44">
        <v>31</v>
      </c>
      <c r="F44">
        <v>12</v>
      </c>
      <c r="G44">
        <v>2024</v>
      </c>
      <c r="H44" t="s">
        <v>307</v>
      </c>
    </row>
    <row r="45" spans="2:8" x14ac:dyDescent="0.2">
      <c r="B45" t="str">
        <f ca="1">IFERROR(MATCH($A$1,OFFSET('Trang thiet bi'!#REF!,'Nhãn KK'!$B44,0,1000),0)+'Nhãn KK'!$B44,"")</f>
        <v/>
      </c>
      <c r="C45" t="str">
        <f ca="1">IF(B45="","",_xlfn.XLOOKUP($B45,'Trang thiet bi'!#REF!,'Trang thiet bi'!B:B))</f>
        <v/>
      </c>
      <c r="D45" t="str">
        <f ca="1">IF(C45="","",_xlfn.XLOOKUP($B45,'Trang thiet bi'!#REF!,'Trang thiet bi'!C:C))</f>
        <v/>
      </c>
      <c r="E45">
        <v>31</v>
      </c>
      <c r="F45">
        <v>12</v>
      </c>
      <c r="G45">
        <v>2024</v>
      </c>
      <c r="H45" t="s">
        <v>307</v>
      </c>
    </row>
    <row r="46" spans="2:8" x14ac:dyDescent="0.2">
      <c r="B46" t="str">
        <f ca="1">IFERROR(MATCH($A$1,OFFSET('Trang thiet bi'!#REF!,'Nhãn KK'!$B45,0,1000),0)+'Nhãn KK'!$B45,"")</f>
        <v/>
      </c>
      <c r="C46" t="str">
        <f ca="1">IF(B46="","",_xlfn.XLOOKUP($B46,'Trang thiet bi'!#REF!,'Trang thiet bi'!B:B))</f>
        <v/>
      </c>
      <c r="D46" t="str">
        <f ca="1">IF(C46="","",_xlfn.XLOOKUP($B46,'Trang thiet bi'!#REF!,'Trang thiet bi'!C:C))</f>
        <v/>
      </c>
      <c r="E46">
        <v>31</v>
      </c>
      <c r="F46">
        <v>12</v>
      </c>
      <c r="G46">
        <v>2024</v>
      </c>
      <c r="H46" t="s">
        <v>307</v>
      </c>
    </row>
    <row r="47" spans="2:8" x14ac:dyDescent="0.2">
      <c r="B47" t="str">
        <f ca="1">IFERROR(MATCH($A$1,OFFSET('Trang thiet bi'!#REF!,'Nhãn KK'!$B46,0,1000),0)+'Nhãn KK'!$B46,"")</f>
        <v/>
      </c>
      <c r="C47" t="str">
        <f ca="1">IF(B47="","",_xlfn.XLOOKUP($B47,'Trang thiet bi'!#REF!,'Trang thiet bi'!B:B))</f>
        <v/>
      </c>
      <c r="D47" t="str">
        <f ca="1">IF(C47="","",_xlfn.XLOOKUP($B47,'Trang thiet bi'!#REF!,'Trang thiet bi'!C:C))</f>
        <v/>
      </c>
      <c r="E47">
        <v>31</v>
      </c>
      <c r="F47">
        <v>12</v>
      </c>
      <c r="G47">
        <v>2024</v>
      </c>
      <c r="H47" t="s">
        <v>307</v>
      </c>
    </row>
    <row r="48" spans="2:8" x14ac:dyDescent="0.2">
      <c r="B48" t="str">
        <f ca="1">IFERROR(MATCH($A$1,OFFSET('Trang thiet bi'!#REF!,'Nhãn KK'!$B47,0,1000),0)+'Nhãn KK'!$B47,"")</f>
        <v/>
      </c>
      <c r="C48" t="str">
        <f ca="1">IF(B48="","",_xlfn.XLOOKUP($B48,'Trang thiet bi'!#REF!,'Trang thiet bi'!B:B))</f>
        <v/>
      </c>
      <c r="D48" t="str">
        <f ca="1">IF(C48="","",_xlfn.XLOOKUP($B48,'Trang thiet bi'!#REF!,'Trang thiet bi'!C:C))</f>
        <v/>
      </c>
      <c r="E48">
        <v>31</v>
      </c>
      <c r="F48">
        <v>12</v>
      </c>
      <c r="G48">
        <v>2024</v>
      </c>
      <c r="H48" t="s">
        <v>307</v>
      </c>
    </row>
    <row r="49" spans="2:8" x14ac:dyDescent="0.2">
      <c r="B49" t="str">
        <f ca="1">IFERROR(MATCH($A$1,OFFSET('Trang thiet bi'!#REF!,'Nhãn KK'!$B48,0,1000),0)+'Nhãn KK'!$B48,"")</f>
        <v/>
      </c>
      <c r="C49" t="str">
        <f ca="1">IF(B49="","",_xlfn.XLOOKUP($B49,'Trang thiet bi'!#REF!,'Trang thiet bi'!B:B))</f>
        <v/>
      </c>
      <c r="D49" t="str">
        <f ca="1">IF(C49="","",_xlfn.XLOOKUP($B49,'Trang thiet bi'!#REF!,'Trang thiet bi'!C:C))</f>
        <v/>
      </c>
      <c r="E49">
        <v>31</v>
      </c>
      <c r="F49">
        <v>12</v>
      </c>
      <c r="G49">
        <v>2024</v>
      </c>
      <c r="H49" t="s">
        <v>307</v>
      </c>
    </row>
    <row r="50" spans="2:8" x14ac:dyDescent="0.2">
      <c r="B50" t="str">
        <f ca="1">IFERROR(MATCH($A$1,OFFSET('Trang thiet bi'!#REF!,'Nhãn KK'!$B49,0,1000),0)+'Nhãn KK'!$B49,"")</f>
        <v/>
      </c>
      <c r="C50" t="str">
        <f ca="1">IF(B50="","",_xlfn.XLOOKUP($B50,'Trang thiet bi'!#REF!,'Trang thiet bi'!B:B))</f>
        <v/>
      </c>
      <c r="D50" t="str">
        <f ca="1">IF(C50="","",_xlfn.XLOOKUP($B50,'Trang thiet bi'!#REF!,'Trang thiet bi'!C:C))</f>
        <v/>
      </c>
      <c r="E50">
        <v>31</v>
      </c>
      <c r="F50">
        <v>12</v>
      </c>
      <c r="G50">
        <v>2024</v>
      </c>
      <c r="H50" t="s">
        <v>307</v>
      </c>
    </row>
    <row r="51" spans="2:8" x14ac:dyDescent="0.2">
      <c r="B51" t="str">
        <f ca="1">IFERROR(MATCH($A$1,OFFSET('Trang thiet bi'!#REF!,'Nhãn KK'!$B50,0,1000),0)+'Nhãn KK'!$B50,"")</f>
        <v/>
      </c>
      <c r="C51" t="str">
        <f ca="1">IF(B51="","",_xlfn.XLOOKUP($B51,'Trang thiet bi'!#REF!,'Trang thiet bi'!B:B))</f>
        <v/>
      </c>
      <c r="D51" t="str">
        <f ca="1">IF(C51="","",_xlfn.XLOOKUP($B51,'Trang thiet bi'!#REF!,'Trang thiet bi'!C:C))</f>
        <v/>
      </c>
      <c r="E51">
        <v>31</v>
      </c>
      <c r="F51">
        <v>12</v>
      </c>
      <c r="G51">
        <v>2024</v>
      </c>
      <c r="H51" t="s">
        <v>307</v>
      </c>
    </row>
    <row r="52" spans="2:8" x14ac:dyDescent="0.2">
      <c r="B52" t="str">
        <f ca="1">IFERROR(MATCH($A$1,OFFSET('Trang thiet bi'!#REF!,'Nhãn KK'!$B51,0,1000),0)+'Nhãn KK'!$B51,"")</f>
        <v/>
      </c>
      <c r="C52" t="str">
        <f ca="1">IF(B52="","",_xlfn.XLOOKUP($B52,'Trang thiet bi'!#REF!,'Trang thiet bi'!B:B))</f>
        <v/>
      </c>
      <c r="D52" t="str">
        <f ca="1">IF(C52="","",_xlfn.XLOOKUP($B52,'Trang thiet bi'!#REF!,'Trang thiet bi'!C:C))</f>
        <v/>
      </c>
      <c r="E52">
        <v>31</v>
      </c>
      <c r="F52">
        <v>12</v>
      </c>
      <c r="G52">
        <v>2024</v>
      </c>
      <c r="H52" t="s">
        <v>307</v>
      </c>
    </row>
    <row r="53" spans="2:8" x14ac:dyDescent="0.2">
      <c r="B53" t="str">
        <f ca="1">IFERROR(MATCH($A$1,OFFSET('Trang thiet bi'!#REF!,'Nhãn KK'!$B52,0,1000),0)+'Nhãn KK'!$B52,"")</f>
        <v/>
      </c>
      <c r="C53" t="str">
        <f ca="1">IF(B53="","",_xlfn.XLOOKUP($B53,'Trang thiet bi'!#REF!,'Trang thiet bi'!B:B))</f>
        <v/>
      </c>
      <c r="D53" t="str">
        <f ca="1">IF(C53="","",_xlfn.XLOOKUP($B53,'Trang thiet bi'!#REF!,'Trang thiet bi'!C:C))</f>
        <v/>
      </c>
      <c r="E53">
        <v>31</v>
      </c>
      <c r="F53">
        <v>12</v>
      </c>
      <c r="G53">
        <v>2024</v>
      </c>
      <c r="H53" t="s">
        <v>307</v>
      </c>
    </row>
    <row r="54" spans="2:8" x14ac:dyDescent="0.2">
      <c r="B54" t="str">
        <f ca="1">IFERROR(MATCH($A$1,OFFSET('Trang thiet bi'!#REF!,'Nhãn KK'!$B53,0,1000),0)+'Nhãn KK'!$B53,"")</f>
        <v/>
      </c>
      <c r="C54" t="str">
        <f ca="1">IF(B54="","",_xlfn.XLOOKUP($B54,'Trang thiet bi'!#REF!,'Trang thiet bi'!B:B))</f>
        <v/>
      </c>
      <c r="D54" t="str">
        <f ca="1">IF(C54="","",_xlfn.XLOOKUP($B54,'Trang thiet bi'!#REF!,'Trang thiet bi'!C:C))</f>
        <v/>
      </c>
      <c r="E54">
        <v>31</v>
      </c>
      <c r="F54">
        <v>12</v>
      </c>
      <c r="G54">
        <v>2024</v>
      </c>
      <c r="H54" t="s">
        <v>307</v>
      </c>
    </row>
    <row r="55" spans="2:8" x14ac:dyDescent="0.2">
      <c r="B55" t="str">
        <f ca="1">IFERROR(MATCH($A$1,OFFSET('Trang thiet bi'!#REF!,'Nhãn KK'!$B54,0,1000),0)+'Nhãn KK'!$B54,"")</f>
        <v/>
      </c>
      <c r="C55" t="str">
        <f ca="1">IF(B55="","",_xlfn.XLOOKUP($B55,'Trang thiet bi'!#REF!,'Trang thiet bi'!B:B))</f>
        <v/>
      </c>
      <c r="D55" t="str">
        <f ca="1">IF(C55="","",_xlfn.XLOOKUP($B55,'Trang thiet bi'!#REF!,'Trang thiet bi'!C:C))</f>
        <v/>
      </c>
      <c r="E55">
        <v>31</v>
      </c>
      <c r="F55">
        <v>12</v>
      </c>
      <c r="G55">
        <v>2024</v>
      </c>
      <c r="H55" t="s">
        <v>307</v>
      </c>
    </row>
    <row r="56" spans="2:8" x14ac:dyDescent="0.2">
      <c r="B56" t="str">
        <f ca="1">IFERROR(MATCH($A$1,OFFSET('Trang thiet bi'!#REF!,'Nhãn KK'!$B55,0,1000),0)+'Nhãn KK'!$B55,"")</f>
        <v/>
      </c>
      <c r="C56" t="str">
        <f ca="1">IF(B56="","",_xlfn.XLOOKUP($B56,'Trang thiet bi'!#REF!,'Trang thiet bi'!B:B))</f>
        <v/>
      </c>
      <c r="D56" t="str">
        <f ca="1">IF(C56="","",_xlfn.XLOOKUP($B56,'Trang thiet bi'!#REF!,'Trang thiet bi'!C:C))</f>
        <v/>
      </c>
      <c r="E56">
        <v>31</v>
      </c>
      <c r="F56">
        <v>12</v>
      </c>
      <c r="G56">
        <v>2024</v>
      </c>
      <c r="H56" t="s">
        <v>307</v>
      </c>
    </row>
    <row r="57" spans="2:8" x14ac:dyDescent="0.2">
      <c r="B57" t="str">
        <f ca="1">IFERROR(MATCH($A$1,OFFSET('Trang thiet bi'!#REF!,'Nhãn KK'!$B56,0,1000),0)+'Nhãn KK'!$B56,"")</f>
        <v/>
      </c>
      <c r="C57" t="str">
        <f ca="1">IF(B57="","",_xlfn.XLOOKUP($B57,'Trang thiet bi'!#REF!,'Trang thiet bi'!B:B))</f>
        <v/>
      </c>
      <c r="D57" t="str">
        <f ca="1">IF(C57="","",_xlfn.XLOOKUP($B57,'Trang thiet bi'!#REF!,'Trang thiet bi'!C:C))</f>
        <v/>
      </c>
      <c r="E57">
        <v>31</v>
      </c>
      <c r="F57">
        <v>12</v>
      </c>
      <c r="G57">
        <v>2024</v>
      </c>
      <c r="H57" t="s">
        <v>307</v>
      </c>
    </row>
    <row r="58" spans="2:8" x14ac:dyDescent="0.2">
      <c r="B58" t="str">
        <f ca="1">IFERROR(MATCH($A$1,OFFSET('Trang thiet bi'!#REF!,'Nhãn KK'!$B57,0,1000),0)+'Nhãn KK'!$B57,"")</f>
        <v/>
      </c>
      <c r="C58" t="str">
        <f ca="1">IF(B58="","",_xlfn.XLOOKUP($B58,'Trang thiet bi'!#REF!,'Trang thiet bi'!B:B))</f>
        <v/>
      </c>
      <c r="D58" t="str">
        <f ca="1">IF(C58="","",_xlfn.XLOOKUP($B58,'Trang thiet bi'!#REF!,'Trang thiet bi'!C:C))</f>
        <v/>
      </c>
      <c r="E58">
        <v>31</v>
      </c>
      <c r="F58">
        <v>12</v>
      </c>
      <c r="G58">
        <v>2024</v>
      </c>
      <c r="H58" t="s">
        <v>307</v>
      </c>
    </row>
    <row r="59" spans="2:8" x14ac:dyDescent="0.2">
      <c r="B59" t="str">
        <f ca="1">IFERROR(MATCH($A$1,OFFSET('Trang thiet bi'!#REF!,'Nhãn KK'!$B58,0,1000),0)+'Nhãn KK'!$B58,"")</f>
        <v/>
      </c>
      <c r="C59" t="str">
        <f ca="1">IF(B59="","",_xlfn.XLOOKUP($B59,'Trang thiet bi'!#REF!,'Trang thiet bi'!B:B))</f>
        <v/>
      </c>
      <c r="D59" t="str">
        <f ca="1">IF(C59="","",_xlfn.XLOOKUP($B59,'Trang thiet bi'!#REF!,'Trang thiet bi'!C:C))</f>
        <v/>
      </c>
      <c r="E59">
        <v>31</v>
      </c>
      <c r="F59">
        <v>12</v>
      </c>
      <c r="G59">
        <v>2024</v>
      </c>
      <c r="H59" t="s">
        <v>307</v>
      </c>
    </row>
    <row r="60" spans="2:8" x14ac:dyDescent="0.2">
      <c r="B60" t="str">
        <f ca="1">IFERROR(MATCH($A$1,OFFSET('Trang thiet bi'!#REF!,'Nhãn KK'!$B59,0,1000),0)+'Nhãn KK'!$B59,"")</f>
        <v/>
      </c>
      <c r="C60" t="str">
        <f ca="1">IF(B60="","",_xlfn.XLOOKUP($B60,'Trang thiet bi'!#REF!,'Trang thiet bi'!B:B))</f>
        <v/>
      </c>
      <c r="D60" t="str">
        <f ca="1">IF(C60="","",_xlfn.XLOOKUP($B60,'Trang thiet bi'!#REF!,'Trang thiet bi'!C:C))</f>
        <v/>
      </c>
      <c r="E60">
        <v>31</v>
      </c>
      <c r="F60">
        <v>12</v>
      </c>
      <c r="G60">
        <v>2024</v>
      </c>
      <c r="H60" t="s">
        <v>307</v>
      </c>
    </row>
    <row r="61" spans="2:8" x14ac:dyDescent="0.2">
      <c r="B61" t="str">
        <f ca="1">IFERROR(MATCH($A$1,OFFSET('Trang thiet bi'!#REF!,'Nhãn KK'!$B60,0,1000),0)+'Nhãn KK'!$B60,"")</f>
        <v/>
      </c>
      <c r="C61" t="str">
        <f ca="1">IF(B61="","",_xlfn.XLOOKUP($B61,'Trang thiet bi'!#REF!,'Trang thiet bi'!B:B))</f>
        <v/>
      </c>
      <c r="D61" t="str">
        <f ca="1">IF(C61="","",_xlfn.XLOOKUP($B61,'Trang thiet bi'!#REF!,'Trang thiet bi'!C:C))</f>
        <v/>
      </c>
      <c r="E61">
        <v>31</v>
      </c>
      <c r="F61">
        <v>12</v>
      </c>
      <c r="G61">
        <v>2024</v>
      </c>
      <c r="H61" t="s">
        <v>307</v>
      </c>
    </row>
    <row r="62" spans="2:8" x14ac:dyDescent="0.2">
      <c r="B62" t="str">
        <f ca="1">IFERROR(MATCH($A$1,OFFSET('Trang thiet bi'!#REF!,'Nhãn KK'!$B61,0,1000),0)+'Nhãn KK'!$B61,"")</f>
        <v/>
      </c>
      <c r="C62" t="str">
        <f ca="1">IF(B62="","",_xlfn.XLOOKUP($B62,'Trang thiet bi'!#REF!,'Trang thiet bi'!B:B))</f>
        <v/>
      </c>
      <c r="D62" t="str">
        <f ca="1">IF(C62="","",_xlfn.XLOOKUP($B62,'Trang thiet bi'!#REF!,'Trang thiet bi'!C:C))</f>
        <v/>
      </c>
      <c r="E62">
        <v>31</v>
      </c>
      <c r="F62">
        <v>12</v>
      </c>
      <c r="G62">
        <v>2024</v>
      </c>
      <c r="H62" t="s">
        <v>307</v>
      </c>
    </row>
    <row r="63" spans="2:8" x14ac:dyDescent="0.2">
      <c r="B63" t="str">
        <f ca="1">IFERROR(MATCH($A$1,OFFSET('Trang thiet bi'!#REF!,'Nhãn KK'!$B62,0,1000),0)+'Nhãn KK'!$B62,"")</f>
        <v/>
      </c>
      <c r="C63" t="str">
        <f ca="1">IF(B63="","",_xlfn.XLOOKUP($B63,'Trang thiet bi'!#REF!,'Trang thiet bi'!B:B))</f>
        <v/>
      </c>
      <c r="D63" t="str">
        <f ca="1">IF(C63="","",_xlfn.XLOOKUP($B63,'Trang thiet bi'!#REF!,'Trang thiet bi'!C:C))</f>
        <v/>
      </c>
      <c r="E63">
        <v>31</v>
      </c>
      <c r="F63">
        <v>12</v>
      </c>
      <c r="G63">
        <v>2024</v>
      </c>
      <c r="H63" t="s">
        <v>307</v>
      </c>
    </row>
    <row r="64" spans="2:8" x14ac:dyDescent="0.2">
      <c r="B64" t="str">
        <f ca="1">IFERROR(MATCH($A$1,OFFSET('Trang thiet bi'!#REF!,'Nhãn KK'!$B63,0,1000),0)+'Nhãn KK'!$B63,"")</f>
        <v/>
      </c>
      <c r="C64" t="str">
        <f ca="1">IF(B64="","",_xlfn.XLOOKUP($B64,'Trang thiet bi'!#REF!,'Trang thiet bi'!B:B))</f>
        <v/>
      </c>
      <c r="D64" t="str">
        <f ca="1">IF(C64="","",_xlfn.XLOOKUP($B64,'Trang thiet bi'!#REF!,'Trang thiet bi'!C:C))</f>
        <v/>
      </c>
      <c r="E64">
        <v>31</v>
      </c>
      <c r="F64">
        <v>12</v>
      </c>
      <c r="G64">
        <v>2024</v>
      </c>
      <c r="H64" t="s">
        <v>307</v>
      </c>
    </row>
    <row r="65" spans="2:8" x14ac:dyDescent="0.2">
      <c r="B65" t="str">
        <f ca="1">IFERROR(MATCH($A$1,OFFSET('Trang thiet bi'!#REF!,'Nhãn KK'!$B64,0,1000),0)+'Nhãn KK'!$B64,"")</f>
        <v/>
      </c>
      <c r="C65" t="str">
        <f ca="1">IF(B65="","",_xlfn.XLOOKUP($B65,'Trang thiet bi'!#REF!,'Trang thiet bi'!B:B))</f>
        <v/>
      </c>
      <c r="D65" t="str">
        <f ca="1">IF(C65="","",_xlfn.XLOOKUP($B65,'Trang thiet bi'!#REF!,'Trang thiet bi'!C:C))</f>
        <v/>
      </c>
      <c r="E65">
        <v>31</v>
      </c>
      <c r="F65">
        <v>12</v>
      </c>
      <c r="G65">
        <v>2024</v>
      </c>
      <c r="H65" t="s">
        <v>307</v>
      </c>
    </row>
    <row r="66" spans="2:8" x14ac:dyDescent="0.2">
      <c r="B66" t="str">
        <f ca="1">IFERROR(MATCH($A$1,OFFSET('Trang thiet bi'!#REF!,'Nhãn KK'!$B65,0,1000),0)+'Nhãn KK'!$B65,"")</f>
        <v/>
      </c>
      <c r="C66" t="str">
        <f ca="1">IF(B66="","",_xlfn.XLOOKUP($B66,'Trang thiet bi'!#REF!,'Trang thiet bi'!B:B))</f>
        <v/>
      </c>
      <c r="D66" t="str">
        <f ca="1">IF(C66="","",_xlfn.XLOOKUP($B66,'Trang thiet bi'!#REF!,'Trang thiet bi'!C:C))</f>
        <v/>
      </c>
      <c r="E66">
        <v>31</v>
      </c>
      <c r="F66">
        <v>12</v>
      </c>
      <c r="G66">
        <v>2024</v>
      </c>
      <c r="H66" t="s">
        <v>307</v>
      </c>
    </row>
    <row r="67" spans="2:8" x14ac:dyDescent="0.2">
      <c r="B67" t="str">
        <f ca="1">IFERROR(MATCH($A$1,OFFSET('Trang thiet bi'!#REF!,'Nhãn KK'!$B66,0,1000),0)+'Nhãn KK'!$B66,"")</f>
        <v/>
      </c>
      <c r="C67" t="str">
        <f ca="1">IF(B67="","",_xlfn.XLOOKUP($B67,'Trang thiet bi'!#REF!,'Trang thiet bi'!B:B))</f>
        <v/>
      </c>
      <c r="D67" t="str">
        <f ca="1">IF(C67="","",_xlfn.XLOOKUP($B67,'Trang thiet bi'!#REF!,'Trang thiet bi'!C:C))</f>
        <v/>
      </c>
      <c r="E67">
        <v>31</v>
      </c>
      <c r="F67">
        <v>12</v>
      </c>
      <c r="G67">
        <v>2024</v>
      </c>
      <c r="H67" t="s">
        <v>307</v>
      </c>
    </row>
    <row r="68" spans="2:8" x14ac:dyDescent="0.2">
      <c r="B68" t="str">
        <f ca="1">IFERROR(MATCH($A$1,OFFSET('Trang thiet bi'!#REF!,'Nhãn KK'!$B67,0,1000),0)+'Nhãn KK'!$B67,"")</f>
        <v/>
      </c>
      <c r="C68" t="str">
        <f ca="1">IF(B68="","",_xlfn.XLOOKUP($B68,'Trang thiet bi'!#REF!,'Trang thiet bi'!B:B))</f>
        <v/>
      </c>
      <c r="D68" t="str">
        <f ca="1">IF(C68="","",_xlfn.XLOOKUP($B68,'Trang thiet bi'!#REF!,'Trang thiet bi'!C:C))</f>
        <v/>
      </c>
      <c r="E68">
        <v>31</v>
      </c>
      <c r="F68">
        <v>12</v>
      </c>
      <c r="G68">
        <v>2024</v>
      </c>
      <c r="H68" t="s">
        <v>307</v>
      </c>
    </row>
    <row r="69" spans="2:8" x14ac:dyDescent="0.2">
      <c r="B69" t="str">
        <f ca="1">IFERROR(MATCH($A$1,OFFSET('Trang thiet bi'!#REF!,'Nhãn KK'!$B68,0,1000),0)+'Nhãn KK'!$B68,"")</f>
        <v/>
      </c>
      <c r="C69" t="str">
        <f ca="1">IF(B69="","",_xlfn.XLOOKUP($B69,'Trang thiet bi'!#REF!,'Trang thiet bi'!B:B))</f>
        <v/>
      </c>
      <c r="D69" t="str">
        <f ca="1">IF(C69="","",_xlfn.XLOOKUP($B69,'Trang thiet bi'!#REF!,'Trang thiet bi'!C:C))</f>
        <v/>
      </c>
      <c r="E69">
        <v>31</v>
      </c>
      <c r="F69">
        <v>12</v>
      </c>
      <c r="G69">
        <v>2024</v>
      </c>
      <c r="H69" t="s">
        <v>307</v>
      </c>
    </row>
    <row r="70" spans="2:8" x14ac:dyDescent="0.2">
      <c r="B70" t="str">
        <f ca="1">IFERROR(MATCH($A$1,OFFSET('Trang thiet bi'!#REF!,'Nhãn KK'!$B69,0,1000),0)+'Nhãn KK'!$B69,"")</f>
        <v/>
      </c>
      <c r="C70" t="str">
        <f ca="1">IF(B70="","",_xlfn.XLOOKUP($B70,'Trang thiet bi'!#REF!,'Trang thiet bi'!B:B))</f>
        <v/>
      </c>
      <c r="D70" t="str">
        <f ca="1">IF(C70="","",_xlfn.XLOOKUP($B70,'Trang thiet bi'!#REF!,'Trang thiet bi'!C:C))</f>
        <v/>
      </c>
      <c r="E70">
        <v>31</v>
      </c>
      <c r="F70">
        <v>12</v>
      </c>
      <c r="G70">
        <v>2024</v>
      </c>
      <c r="H70" t="s">
        <v>307</v>
      </c>
    </row>
    <row r="71" spans="2:8" x14ac:dyDescent="0.2">
      <c r="B71" t="str">
        <f ca="1">IFERROR(MATCH($A$1,OFFSET('Trang thiet bi'!#REF!,'Nhãn KK'!$B70,0,1000),0)+'Nhãn KK'!$B70,"")</f>
        <v/>
      </c>
      <c r="C71" t="str">
        <f ca="1">IF(B71="","",_xlfn.XLOOKUP($B71,'Trang thiet bi'!#REF!,'Trang thiet bi'!B:B))</f>
        <v/>
      </c>
      <c r="D71" t="str">
        <f ca="1">IF(C71="","",_xlfn.XLOOKUP($B71,'Trang thiet bi'!#REF!,'Trang thiet bi'!C:C))</f>
        <v/>
      </c>
      <c r="E71">
        <v>31</v>
      </c>
      <c r="F71">
        <v>12</v>
      </c>
      <c r="G71">
        <v>2024</v>
      </c>
      <c r="H71" t="s">
        <v>307</v>
      </c>
    </row>
    <row r="72" spans="2:8" x14ac:dyDescent="0.2">
      <c r="B72" t="str">
        <f ca="1">IFERROR(MATCH($A$1,OFFSET('Trang thiet bi'!#REF!,'Nhãn KK'!$B71,0,1000),0)+'Nhãn KK'!$B71,"")</f>
        <v/>
      </c>
      <c r="C72" t="str">
        <f ca="1">IF(B72="","",_xlfn.XLOOKUP($B72,'Trang thiet bi'!#REF!,'Trang thiet bi'!B:B))</f>
        <v/>
      </c>
      <c r="D72" t="str">
        <f ca="1">IF(C72="","",_xlfn.XLOOKUP($B72,'Trang thiet bi'!#REF!,'Trang thiet bi'!C:C))</f>
        <v/>
      </c>
      <c r="E72">
        <v>31</v>
      </c>
      <c r="F72">
        <v>12</v>
      </c>
      <c r="G72">
        <v>2024</v>
      </c>
      <c r="H72" t="s">
        <v>307</v>
      </c>
    </row>
    <row r="73" spans="2:8" x14ac:dyDescent="0.2">
      <c r="B73" t="str">
        <f ca="1">IFERROR(MATCH($A$1,OFFSET('Trang thiet bi'!#REF!,'Nhãn KK'!$B72,0,1000),0)+'Nhãn KK'!$B72,"")</f>
        <v/>
      </c>
      <c r="C73" t="str">
        <f ca="1">IF(B73="","",_xlfn.XLOOKUP($B73,'Trang thiet bi'!#REF!,'Trang thiet bi'!B:B))</f>
        <v/>
      </c>
      <c r="D73" t="str">
        <f ca="1">IF(C73="","",_xlfn.XLOOKUP($B73,'Trang thiet bi'!#REF!,'Trang thiet bi'!C:C))</f>
        <v/>
      </c>
      <c r="E73">
        <v>31</v>
      </c>
      <c r="F73">
        <v>12</v>
      </c>
      <c r="G73">
        <v>2024</v>
      </c>
      <c r="H73" t="s">
        <v>307</v>
      </c>
    </row>
    <row r="74" spans="2:8" x14ac:dyDescent="0.2">
      <c r="B74" t="str">
        <f ca="1">IFERROR(MATCH($A$1,OFFSET('Trang thiet bi'!#REF!,'Nhãn KK'!$B73,0,1000),0)+'Nhãn KK'!$B73,"")</f>
        <v/>
      </c>
      <c r="C74" t="str">
        <f ca="1">IF(B74="","",_xlfn.XLOOKUP($B74,'Trang thiet bi'!#REF!,'Trang thiet bi'!B:B))</f>
        <v/>
      </c>
      <c r="D74" t="str">
        <f ca="1">IF(C74="","",_xlfn.XLOOKUP($B74,'Trang thiet bi'!#REF!,'Trang thiet bi'!C:C))</f>
        <v/>
      </c>
      <c r="E74">
        <v>31</v>
      </c>
      <c r="F74">
        <v>12</v>
      </c>
      <c r="G74">
        <v>2024</v>
      </c>
      <c r="H74" t="s">
        <v>307</v>
      </c>
    </row>
    <row r="75" spans="2:8" x14ac:dyDescent="0.2">
      <c r="B75" t="str">
        <f ca="1">IFERROR(MATCH($A$1,OFFSET('Trang thiet bi'!#REF!,'Nhãn KK'!$B74,0,1000),0)+'Nhãn KK'!$B74,"")</f>
        <v/>
      </c>
      <c r="C75" t="str">
        <f ca="1">IF(B75="","",_xlfn.XLOOKUP($B75,'Trang thiet bi'!#REF!,'Trang thiet bi'!B:B))</f>
        <v/>
      </c>
      <c r="D75" t="str">
        <f ca="1">IF(C75="","",_xlfn.XLOOKUP($B75,'Trang thiet bi'!#REF!,'Trang thiet bi'!C:C))</f>
        <v/>
      </c>
      <c r="E75">
        <v>31</v>
      </c>
      <c r="F75">
        <v>12</v>
      </c>
      <c r="G75">
        <v>2024</v>
      </c>
      <c r="H75" t="s">
        <v>307</v>
      </c>
    </row>
    <row r="76" spans="2:8" x14ac:dyDescent="0.2">
      <c r="B76" t="str">
        <f ca="1">IFERROR(MATCH($A$1,OFFSET('Trang thiet bi'!#REF!,'Nhãn KK'!$B75,0,1000),0)+'Nhãn KK'!$B75,"")</f>
        <v/>
      </c>
      <c r="C76" t="str">
        <f ca="1">IF(B76="","",_xlfn.XLOOKUP($B76,'Trang thiet bi'!#REF!,'Trang thiet bi'!B:B))</f>
        <v/>
      </c>
      <c r="D76" t="str">
        <f ca="1">IF(C76="","",_xlfn.XLOOKUP($B76,'Trang thiet bi'!#REF!,'Trang thiet bi'!C:C))</f>
        <v/>
      </c>
      <c r="E76">
        <v>31</v>
      </c>
      <c r="F76">
        <v>12</v>
      </c>
      <c r="G76">
        <v>2024</v>
      </c>
      <c r="H76" t="s">
        <v>307</v>
      </c>
    </row>
    <row r="77" spans="2:8" x14ac:dyDescent="0.2">
      <c r="B77" t="str">
        <f ca="1">IFERROR(MATCH($A$1,OFFSET('Trang thiet bi'!#REF!,'Nhãn KK'!$B76,0,1000),0)+'Nhãn KK'!$B76,"")</f>
        <v/>
      </c>
      <c r="C77" t="str">
        <f ca="1">IF(B77="","",_xlfn.XLOOKUP($B77,'Trang thiet bi'!#REF!,'Trang thiet bi'!B:B))</f>
        <v/>
      </c>
      <c r="D77" t="str">
        <f ca="1">IF(C77="","",_xlfn.XLOOKUP($B77,'Trang thiet bi'!#REF!,'Trang thiet bi'!C:C))</f>
        <v/>
      </c>
      <c r="E77">
        <v>31</v>
      </c>
      <c r="F77">
        <v>12</v>
      </c>
      <c r="G77">
        <v>2024</v>
      </c>
      <c r="H77" t="s">
        <v>307</v>
      </c>
    </row>
    <row r="78" spans="2:8" x14ac:dyDescent="0.2">
      <c r="B78" t="str">
        <f ca="1">IFERROR(MATCH($A$1,OFFSET('Trang thiet bi'!#REF!,'Nhãn KK'!$B77,0,1000),0)+'Nhãn KK'!$B77,"")</f>
        <v/>
      </c>
      <c r="C78" t="str">
        <f ca="1">IF(B78="","",_xlfn.XLOOKUP($B78,'Trang thiet bi'!#REF!,'Trang thiet bi'!B:B))</f>
        <v/>
      </c>
      <c r="D78" t="str">
        <f ca="1">IF(C78="","",_xlfn.XLOOKUP($B78,'Trang thiet bi'!#REF!,'Trang thiet bi'!C:C))</f>
        <v/>
      </c>
      <c r="E78">
        <v>31</v>
      </c>
      <c r="F78">
        <v>12</v>
      </c>
      <c r="G78">
        <v>2024</v>
      </c>
      <c r="H78" t="s">
        <v>307</v>
      </c>
    </row>
    <row r="79" spans="2:8" x14ac:dyDescent="0.2">
      <c r="B79" t="str">
        <f ca="1">IFERROR(MATCH($A$1,OFFSET('Trang thiet bi'!#REF!,'Nhãn KK'!$B78,0,1000),0)+'Nhãn KK'!$B78,"")</f>
        <v/>
      </c>
      <c r="C79" t="str">
        <f ca="1">IF(B79="","",_xlfn.XLOOKUP($B79,'Trang thiet bi'!#REF!,'Trang thiet bi'!B:B))</f>
        <v/>
      </c>
      <c r="D79" t="str">
        <f ca="1">IF(C79="","",_xlfn.XLOOKUP($B79,'Trang thiet bi'!#REF!,'Trang thiet bi'!C:C))</f>
        <v/>
      </c>
      <c r="E79">
        <v>31</v>
      </c>
      <c r="F79">
        <v>12</v>
      </c>
      <c r="G79">
        <v>2024</v>
      </c>
      <c r="H79" t="s">
        <v>307</v>
      </c>
    </row>
    <row r="80" spans="2:8" x14ac:dyDescent="0.2">
      <c r="B80" t="str">
        <f ca="1">IFERROR(MATCH($A$1,OFFSET('Trang thiet bi'!#REF!,'Nhãn KK'!$B79,0,1000),0)+'Nhãn KK'!$B79,"")</f>
        <v/>
      </c>
      <c r="C80" t="str">
        <f ca="1">IF(B80="","",_xlfn.XLOOKUP($B80,'Trang thiet bi'!#REF!,'Trang thiet bi'!B:B))</f>
        <v/>
      </c>
      <c r="D80" t="str">
        <f ca="1">IF(C80="","",_xlfn.XLOOKUP($B80,'Trang thiet bi'!#REF!,'Trang thiet bi'!C:C))</f>
        <v/>
      </c>
      <c r="E80">
        <v>31</v>
      </c>
      <c r="F80">
        <v>12</v>
      </c>
      <c r="G80">
        <v>2024</v>
      </c>
      <c r="H80" t="s">
        <v>307</v>
      </c>
    </row>
    <row r="81" spans="2:8" x14ac:dyDescent="0.2">
      <c r="B81" t="str">
        <f ca="1">IFERROR(MATCH($A$1,OFFSET('Trang thiet bi'!#REF!,'Nhãn KK'!$B80,0,1000),0)+'Nhãn KK'!$B80,"")</f>
        <v/>
      </c>
      <c r="C81" t="str">
        <f ca="1">IF(B81="","",_xlfn.XLOOKUP($B81,'Trang thiet bi'!#REF!,'Trang thiet bi'!B:B))</f>
        <v/>
      </c>
      <c r="D81" t="str">
        <f ca="1">IF(C81="","",_xlfn.XLOOKUP($B81,'Trang thiet bi'!#REF!,'Trang thiet bi'!C:C))</f>
        <v/>
      </c>
      <c r="E81">
        <v>31</v>
      </c>
      <c r="F81">
        <v>12</v>
      </c>
      <c r="G81">
        <v>2024</v>
      </c>
      <c r="H81" t="s">
        <v>307</v>
      </c>
    </row>
    <row r="82" spans="2:8" x14ac:dyDescent="0.2">
      <c r="B82" t="str">
        <f ca="1">IFERROR(MATCH($A$1,OFFSET('Trang thiet bi'!#REF!,'Nhãn KK'!$B81,0,1000),0)+'Nhãn KK'!$B81,"")</f>
        <v/>
      </c>
      <c r="C82" t="str">
        <f ca="1">IF(B82="","",_xlfn.XLOOKUP($B82,'Trang thiet bi'!#REF!,'Trang thiet bi'!B:B))</f>
        <v/>
      </c>
      <c r="D82" t="str">
        <f ca="1">IF(C82="","",_xlfn.XLOOKUP($B82,'Trang thiet bi'!#REF!,'Trang thiet bi'!C:C))</f>
        <v/>
      </c>
      <c r="E82">
        <v>31</v>
      </c>
      <c r="F82">
        <v>12</v>
      </c>
      <c r="G82">
        <v>2024</v>
      </c>
      <c r="H82" t="s">
        <v>307</v>
      </c>
    </row>
    <row r="83" spans="2:8" x14ac:dyDescent="0.2">
      <c r="B83" t="str">
        <f ca="1">IFERROR(MATCH($A$1,OFFSET('Trang thiet bi'!#REF!,'Nhãn KK'!$B82,0,1000),0)+'Nhãn KK'!$B82,"")</f>
        <v/>
      </c>
      <c r="C83" t="str">
        <f ca="1">IF(B83="","",_xlfn.XLOOKUP($B83,'Trang thiet bi'!#REF!,'Trang thiet bi'!B:B))</f>
        <v/>
      </c>
      <c r="D83" t="str">
        <f ca="1">IF(C83="","",_xlfn.XLOOKUP($B83,'Trang thiet bi'!#REF!,'Trang thiet bi'!C:C))</f>
        <v/>
      </c>
      <c r="E83">
        <v>31</v>
      </c>
      <c r="F83">
        <v>12</v>
      </c>
      <c r="G83">
        <v>2024</v>
      </c>
      <c r="H83" t="s">
        <v>307</v>
      </c>
    </row>
    <row r="84" spans="2:8" x14ac:dyDescent="0.2">
      <c r="B84" t="str">
        <f ca="1">IFERROR(MATCH($A$1,OFFSET('Trang thiet bi'!#REF!,'Nhãn KK'!$B83,0,1000),0)+'Nhãn KK'!$B83,"")</f>
        <v/>
      </c>
      <c r="C84" t="str">
        <f ca="1">IF(B84="","",_xlfn.XLOOKUP($B84,'Trang thiet bi'!#REF!,'Trang thiet bi'!B:B))</f>
        <v/>
      </c>
      <c r="D84" t="str">
        <f ca="1">IF(C84="","",_xlfn.XLOOKUP($B84,'Trang thiet bi'!#REF!,'Trang thiet bi'!C:C))</f>
        <v/>
      </c>
      <c r="E84">
        <v>31</v>
      </c>
      <c r="F84">
        <v>12</v>
      </c>
      <c r="G84">
        <v>2024</v>
      </c>
      <c r="H84" t="s">
        <v>307</v>
      </c>
    </row>
    <row r="85" spans="2:8" x14ac:dyDescent="0.2">
      <c r="B85" t="str">
        <f ca="1">IFERROR(MATCH($A$1,OFFSET('Trang thiet bi'!#REF!,'Nhãn KK'!$B84,0,1000),0)+'Nhãn KK'!$B84,"")</f>
        <v/>
      </c>
      <c r="C85" t="str">
        <f ca="1">IF(B85="","",_xlfn.XLOOKUP($B85,'Trang thiet bi'!#REF!,'Trang thiet bi'!B:B))</f>
        <v/>
      </c>
      <c r="D85" t="str">
        <f ca="1">IF(C85="","",_xlfn.XLOOKUP($B85,'Trang thiet bi'!#REF!,'Trang thiet bi'!C:C))</f>
        <v/>
      </c>
      <c r="E85">
        <v>31</v>
      </c>
      <c r="F85">
        <v>12</v>
      </c>
      <c r="G85">
        <v>2024</v>
      </c>
      <c r="H85" t="s">
        <v>307</v>
      </c>
    </row>
    <row r="86" spans="2:8" x14ac:dyDescent="0.2">
      <c r="B86" t="str">
        <f ca="1">IFERROR(MATCH($A$1,OFFSET('Trang thiet bi'!#REF!,'Nhãn KK'!$B85,0,1000),0)+'Nhãn KK'!$B85,"")</f>
        <v/>
      </c>
      <c r="C86" t="str">
        <f ca="1">IF(B86="","",_xlfn.XLOOKUP($B86,'Trang thiet bi'!#REF!,'Trang thiet bi'!B:B))</f>
        <v/>
      </c>
      <c r="D86" t="str">
        <f ca="1">IF(C86="","",_xlfn.XLOOKUP($B86,'Trang thiet bi'!#REF!,'Trang thiet bi'!C:C))</f>
        <v/>
      </c>
      <c r="E86">
        <v>31</v>
      </c>
      <c r="F86">
        <v>12</v>
      </c>
      <c r="G86">
        <v>2024</v>
      </c>
      <c r="H86" t="s">
        <v>307</v>
      </c>
    </row>
    <row r="87" spans="2:8" x14ac:dyDescent="0.2">
      <c r="B87" t="str">
        <f ca="1">IFERROR(MATCH($A$1,OFFSET('Trang thiet bi'!#REF!,'Nhãn KK'!$B86,0,1000),0)+'Nhãn KK'!$B86,"")</f>
        <v/>
      </c>
      <c r="C87" t="str">
        <f ca="1">IF(B87="","",_xlfn.XLOOKUP($B87,'Trang thiet bi'!#REF!,'Trang thiet bi'!B:B))</f>
        <v/>
      </c>
      <c r="D87" t="str">
        <f ca="1">IF(C87="","",_xlfn.XLOOKUP($B87,'Trang thiet bi'!#REF!,'Trang thiet bi'!C:C))</f>
        <v/>
      </c>
      <c r="E87">
        <v>31</v>
      </c>
      <c r="F87">
        <v>12</v>
      </c>
      <c r="G87">
        <v>2024</v>
      </c>
      <c r="H87" t="s">
        <v>307</v>
      </c>
    </row>
    <row r="88" spans="2:8" x14ac:dyDescent="0.2">
      <c r="B88" t="str">
        <f ca="1">IFERROR(MATCH($A$1,OFFSET('Trang thiet bi'!#REF!,'Nhãn KK'!$B87,0,1000),0)+'Nhãn KK'!$B87,"")</f>
        <v/>
      </c>
      <c r="C88" t="str">
        <f ca="1">IF(B88="","",_xlfn.XLOOKUP($B88,'Trang thiet bi'!#REF!,'Trang thiet bi'!B:B))</f>
        <v/>
      </c>
      <c r="D88" t="str">
        <f ca="1">IF(C88="","",_xlfn.XLOOKUP($B88,'Trang thiet bi'!#REF!,'Trang thiet bi'!C:C))</f>
        <v/>
      </c>
      <c r="E88">
        <v>31</v>
      </c>
      <c r="F88">
        <v>12</v>
      </c>
      <c r="G88">
        <v>2024</v>
      </c>
      <c r="H88" t="s">
        <v>307</v>
      </c>
    </row>
    <row r="89" spans="2:8" x14ac:dyDescent="0.2">
      <c r="B89" t="str">
        <f ca="1">IFERROR(MATCH($A$1,OFFSET('Trang thiet bi'!#REF!,'Nhãn KK'!$B88,0,1000),0)+'Nhãn KK'!$B88,"")</f>
        <v/>
      </c>
      <c r="C89" t="str">
        <f ca="1">IF(B89="","",_xlfn.XLOOKUP($B89,'Trang thiet bi'!#REF!,'Trang thiet bi'!B:B))</f>
        <v/>
      </c>
      <c r="D89" t="str">
        <f ca="1">IF(C89="","",_xlfn.XLOOKUP($B89,'Trang thiet bi'!#REF!,'Trang thiet bi'!C:C))</f>
        <v/>
      </c>
      <c r="E89">
        <v>31</v>
      </c>
      <c r="F89">
        <v>12</v>
      </c>
      <c r="G89">
        <v>2024</v>
      </c>
      <c r="H89" t="s">
        <v>307</v>
      </c>
    </row>
    <row r="90" spans="2:8" x14ac:dyDescent="0.2">
      <c r="B90" t="str">
        <f ca="1">IFERROR(MATCH($A$1,OFFSET('Trang thiet bi'!#REF!,'Nhãn KK'!$B89,0,1000),0)+'Nhãn KK'!$B89,"")</f>
        <v/>
      </c>
      <c r="C90" t="str">
        <f ca="1">IF(B90="","",_xlfn.XLOOKUP($B90,'Trang thiet bi'!#REF!,'Trang thiet bi'!B:B))</f>
        <v/>
      </c>
      <c r="D90" t="str">
        <f ca="1">IF(C90="","",_xlfn.XLOOKUP($B90,'Trang thiet bi'!#REF!,'Trang thiet bi'!C:C))</f>
        <v/>
      </c>
      <c r="E90">
        <v>31</v>
      </c>
      <c r="F90">
        <v>12</v>
      </c>
      <c r="G90">
        <v>2024</v>
      </c>
      <c r="H90" t="s">
        <v>307</v>
      </c>
    </row>
    <row r="91" spans="2:8" x14ac:dyDescent="0.2">
      <c r="B91" t="str">
        <f ca="1">IFERROR(MATCH($A$1,OFFSET('Trang thiet bi'!#REF!,'Nhãn KK'!$B90,0,1000),0)+'Nhãn KK'!$B90,"")</f>
        <v/>
      </c>
      <c r="C91" t="str">
        <f ca="1">IF(B91="","",_xlfn.XLOOKUP($B91,'Trang thiet bi'!#REF!,'Trang thiet bi'!B:B))</f>
        <v/>
      </c>
      <c r="D91" t="str">
        <f ca="1">IF(C91="","",_xlfn.XLOOKUP($B91,'Trang thiet bi'!#REF!,'Trang thiet bi'!C:C))</f>
        <v/>
      </c>
      <c r="E91">
        <v>31</v>
      </c>
      <c r="F91">
        <v>12</v>
      </c>
      <c r="G91">
        <v>2024</v>
      </c>
      <c r="H91" t="s">
        <v>307</v>
      </c>
    </row>
    <row r="92" spans="2:8" x14ac:dyDescent="0.2">
      <c r="B92" t="str">
        <f ca="1">IFERROR(MATCH($A$1,OFFSET('Trang thiet bi'!#REF!,'Nhãn KK'!$B91,0,1000),0)+'Nhãn KK'!$B91,"")</f>
        <v/>
      </c>
      <c r="C92" t="str">
        <f ca="1">IF(B92="","",_xlfn.XLOOKUP($B92,'Trang thiet bi'!#REF!,'Trang thiet bi'!B:B))</f>
        <v/>
      </c>
      <c r="D92" t="str">
        <f ca="1">IF(C92="","",_xlfn.XLOOKUP($B92,'Trang thiet bi'!#REF!,'Trang thiet bi'!C:C))</f>
        <v/>
      </c>
      <c r="E92">
        <v>31</v>
      </c>
      <c r="F92">
        <v>12</v>
      </c>
      <c r="G92">
        <v>2024</v>
      </c>
      <c r="H92" t="s">
        <v>307</v>
      </c>
    </row>
    <row r="93" spans="2:8" x14ac:dyDescent="0.2">
      <c r="B93" t="str">
        <f ca="1">IFERROR(MATCH($A$1,OFFSET('Trang thiet bi'!#REF!,'Nhãn KK'!$B92,0,1000),0)+'Nhãn KK'!$B92,"")</f>
        <v/>
      </c>
      <c r="C93" t="str">
        <f ca="1">IF(B93="","",_xlfn.XLOOKUP($B93,'Trang thiet bi'!#REF!,'Trang thiet bi'!B:B))</f>
        <v/>
      </c>
      <c r="D93" t="str">
        <f ca="1">IF(C93="","",_xlfn.XLOOKUP($B93,'Trang thiet bi'!#REF!,'Trang thiet bi'!C:C))</f>
        <v/>
      </c>
      <c r="E93">
        <v>31</v>
      </c>
      <c r="F93">
        <v>12</v>
      </c>
      <c r="G93">
        <v>2024</v>
      </c>
      <c r="H93" t="s">
        <v>307</v>
      </c>
    </row>
    <row r="94" spans="2:8" x14ac:dyDescent="0.2">
      <c r="B94" t="str">
        <f ca="1">IFERROR(MATCH($A$1,OFFSET('Trang thiet bi'!#REF!,'Nhãn KK'!$B93,0,1000),0)+'Nhãn KK'!$B93,"")</f>
        <v/>
      </c>
      <c r="C94" t="str">
        <f ca="1">IF(B94="","",_xlfn.XLOOKUP($B94,'Trang thiet bi'!#REF!,'Trang thiet bi'!B:B))</f>
        <v/>
      </c>
      <c r="D94" t="str">
        <f ca="1">IF(C94="","",_xlfn.XLOOKUP($B94,'Trang thiet bi'!#REF!,'Trang thiet bi'!C:C))</f>
        <v/>
      </c>
      <c r="E94">
        <v>31</v>
      </c>
      <c r="F94">
        <v>12</v>
      </c>
      <c r="G94">
        <v>2024</v>
      </c>
      <c r="H94" t="s">
        <v>307</v>
      </c>
    </row>
    <row r="95" spans="2:8" x14ac:dyDescent="0.2">
      <c r="B95" t="str">
        <f ca="1">IFERROR(MATCH($A$1,OFFSET('Trang thiet bi'!#REF!,'Nhãn KK'!$B94,0,1000),0)+'Nhãn KK'!$B94,"")</f>
        <v/>
      </c>
      <c r="C95" t="str">
        <f ca="1">IF(B95="","",_xlfn.XLOOKUP($B95,'Trang thiet bi'!#REF!,'Trang thiet bi'!B:B))</f>
        <v/>
      </c>
      <c r="D95" t="str">
        <f ca="1">IF(C95="","",_xlfn.XLOOKUP($B95,'Trang thiet bi'!#REF!,'Trang thiet bi'!C:C))</f>
        <v/>
      </c>
      <c r="E95">
        <v>31</v>
      </c>
      <c r="F95">
        <v>12</v>
      </c>
      <c r="G95">
        <v>2024</v>
      </c>
      <c r="H95" t="s">
        <v>307</v>
      </c>
    </row>
    <row r="96" spans="2:8" x14ac:dyDescent="0.2">
      <c r="B96" t="str">
        <f ca="1">IFERROR(MATCH($A$1,OFFSET('Trang thiet bi'!#REF!,'Nhãn KK'!$B95,0,1000),0)+'Nhãn KK'!$B95,"")</f>
        <v/>
      </c>
      <c r="C96" t="str">
        <f ca="1">IF(B96="","",_xlfn.XLOOKUP($B96,'Trang thiet bi'!#REF!,'Trang thiet bi'!B:B))</f>
        <v/>
      </c>
      <c r="D96" t="str">
        <f ca="1">IF(C96="","",_xlfn.XLOOKUP($B96,'Trang thiet bi'!#REF!,'Trang thiet bi'!C:C))</f>
        <v/>
      </c>
      <c r="E96">
        <v>31</v>
      </c>
      <c r="F96">
        <v>12</v>
      </c>
      <c r="G96">
        <v>2024</v>
      </c>
      <c r="H96" t="s">
        <v>307</v>
      </c>
    </row>
    <row r="97" spans="2:8" x14ac:dyDescent="0.2">
      <c r="B97" t="str">
        <f ca="1">IFERROR(MATCH($A$1,OFFSET('Trang thiet bi'!#REF!,'Nhãn KK'!$B96,0,1000),0)+'Nhãn KK'!$B96,"")</f>
        <v/>
      </c>
      <c r="C97" t="str">
        <f ca="1">IF(B97="","",_xlfn.XLOOKUP($B97,'Trang thiet bi'!#REF!,'Trang thiet bi'!B:B))</f>
        <v/>
      </c>
      <c r="D97" t="str">
        <f ca="1">IF(C97="","",_xlfn.XLOOKUP($B97,'Trang thiet bi'!#REF!,'Trang thiet bi'!C:C))</f>
        <v/>
      </c>
      <c r="E97">
        <v>31</v>
      </c>
      <c r="F97">
        <v>12</v>
      </c>
      <c r="G97">
        <v>2024</v>
      </c>
      <c r="H97" t="s">
        <v>307</v>
      </c>
    </row>
    <row r="98" spans="2:8" x14ac:dyDescent="0.2">
      <c r="B98" t="str">
        <f ca="1">IFERROR(MATCH($A$1,OFFSET('Trang thiet bi'!#REF!,'Nhãn KK'!$B97,0,1000),0)+'Nhãn KK'!$B97,"")</f>
        <v/>
      </c>
      <c r="C98" t="str">
        <f ca="1">IF(B98="","",_xlfn.XLOOKUP($B98,'Trang thiet bi'!#REF!,'Trang thiet bi'!B:B))</f>
        <v/>
      </c>
      <c r="D98" t="str">
        <f ca="1">IF(C98="","",_xlfn.XLOOKUP($B98,'Trang thiet bi'!#REF!,'Trang thiet bi'!C:C))</f>
        <v/>
      </c>
      <c r="E98">
        <v>31</v>
      </c>
      <c r="F98">
        <v>12</v>
      </c>
      <c r="G98">
        <v>2024</v>
      </c>
      <c r="H98" t="s">
        <v>307</v>
      </c>
    </row>
    <row r="99" spans="2:8" x14ac:dyDescent="0.2">
      <c r="B99" t="str">
        <f ca="1">IFERROR(MATCH($A$1,OFFSET('Trang thiet bi'!#REF!,'Nhãn KK'!$B98,0,1000),0)+'Nhãn KK'!$B98,"")</f>
        <v/>
      </c>
      <c r="C99" t="str">
        <f ca="1">IF(B99="","",_xlfn.XLOOKUP($B99,'Trang thiet bi'!#REF!,'Trang thiet bi'!B:B))</f>
        <v/>
      </c>
      <c r="D99" t="str">
        <f ca="1">IF(C99="","",_xlfn.XLOOKUP($B99,'Trang thiet bi'!#REF!,'Trang thiet bi'!C:C))</f>
        <v/>
      </c>
      <c r="E99">
        <v>31</v>
      </c>
      <c r="F99">
        <v>12</v>
      </c>
      <c r="G99">
        <v>2024</v>
      </c>
      <c r="H99" t="s">
        <v>307</v>
      </c>
    </row>
    <row r="100" spans="2:8" x14ac:dyDescent="0.2">
      <c r="B100" t="str">
        <f ca="1">IFERROR(MATCH($A$1,OFFSET('Trang thiet bi'!#REF!,'Nhãn KK'!$B99,0,1000),0)+'Nhãn KK'!$B99,"")</f>
        <v/>
      </c>
      <c r="C100" t="str">
        <f ca="1">IF(B100="","",_xlfn.XLOOKUP($B100,'Trang thiet bi'!#REF!,'Trang thiet bi'!B:B))</f>
        <v/>
      </c>
      <c r="D100" t="str">
        <f ca="1">IF(C100="","",_xlfn.XLOOKUP($B100,'Trang thiet bi'!#REF!,'Trang thiet bi'!C:C))</f>
        <v/>
      </c>
      <c r="E100">
        <v>31</v>
      </c>
      <c r="F100">
        <v>12</v>
      </c>
      <c r="G100">
        <v>2024</v>
      </c>
      <c r="H100" t="s">
        <v>307</v>
      </c>
    </row>
    <row r="101" spans="2:8" x14ac:dyDescent="0.2">
      <c r="B101" t="str">
        <f ca="1">IFERROR(MATCH($A$1,OFFSET('Trang thiet bi'!#REF!,'Nhãn KK'!$B100,0,1000),0)+'Nhãn KK'!$B100,"")</f>
        <v/>
      </c>
      <c r="C101" t="str">
        <f ca="1">IF(B101="","",_xlfn.XLOOKUP($B101,'Trang thiet bi'!#REF!,'Trang thiet bi'!B:B))</f>
        <v/>
      </c>
      <c r="D101" t="str">
        <f ca="1">IF(C101="","",_xlfn.XLOOKUP($B101,'Trang thiet bi'!#REF!,'Trang thiet bi'!C:C))</f>
        <v/>
      </c>
      <c r="E101">
        <v>31</v>
      </c>
      <c r="F101">
        <v>12</v>
      </c>
      <c r="G101">
        <v>2024</v>
      </c>
      <c r="H101" t="s">
        <v>307</v>
      </c>
    </row>
    <row r="102" spans="2:8" x14ac:dyDescent="0.2">
      <c r="B102" t="str">
        <f ca="1">IFERROR(MATCH($A$1,OFFSET('Trang thiet bi'!#REF!,'Nhãn KK'!$B101,0,1000),0)+'Nhãn KK'!$B101,"")</f>
        <v/>
      </c>
      <c r="C102" t="str">
        <f ca="1">IF(B102="","",_xlfn.XLOOKUP($B102,'Trang thiet bi'!#REF!,'Trang thiet bi'!B:B))</f>
        <v/>
      </c>
      <c r="D102" t="str">
        <f ca="1">IF(C102="","",_xlfn.XLOOKUP($B102,'Trang thiet bi'!#REF!,'Trang thiet bi'!C:C))</f>
        <v/>
      </c>
      <c r="E102">
        <v>31</v>
      </c>
      <c r="F102">
        <v>12</v>
      </c>
      <c r="G102">
        <v>2024</v>
      </c>
      <c r="H102" t="s">
        <v>307</v>
      </c>
    </row>
    <row r="103" spans="2:8" x14ac:dyDescent="0.2">
      <c r="B103" t="str">
        <f ca="1">IFERROR(MATCH($A$1,OFFSET('Trang thiet bi'!#REF!,'Nhãn KK'!$B102,0,1000),0)+'Nhãn KK'!$B102,"")</f>
        <v/>
      </c>
      <c r="C103" t="str">
        <f ca="1">IF(B103="","",_xlfn.XLOOKUP($B103,'Trang thiet bi'!#REF!,'Trang thiet bi'!B:B))</f>
        <v/>
      </c>
      <c r="D103" t="str">
        <f ca="1">IF(C103="","",_xlfn.XLOOKUP($B103,'Trang thiet bi'!#REF!,'Trang thiet bi'!C:C))</f>
        <v/>
      </c>
      <c r="E103">
        <v>31</v>
      </c>
      <c r="F103">
        <v>12</v>
      </c>
      <c r="G103">
        <v>2024</v>
      </c>
      <c r="H103" t="s">
        <v>307</v>
      </c>
    </row>
    <row r="104" spans="2:8" x14ac:dyDescent="0.2">
      <c r="B104" t="str">
        <f ca="1">IFERROR(MATCH($A$1,OFFSET('Trang thiet bi'!#REF!,'Nhãn KK'!$B103,0,1000),0)+'Nhãn KK'!$B103,"")</f>
        <v/>
      </c>
      <c r="C104" t="str">
        <f ca="1">IF(B104="","",_xlfn.XLOOKUP($B104,'Trang thiet bi'!#REF!,'Trang thiet bi'!B:B))</f>
        <v/>
      </c>
      <c r="D104" t="str">
        <f ca="1">IF(C104="","",_xlfn.XLOOKUP($B104,'Trang thiet bi'!#REF!,'Trang thiet bi'!C:C))</f>
        <v/>
      </c>
      <c r="E104">
        <v>31</v>
      </c>
      <c r="F104">
        <v>12</v>
      </c>
      <c r="G104">
        <v>2024</v>
      </c>
      <c r="H104" t="s">
        <v>307</v>
      </c>
    </row>
    <row r="105" spans="2:8" x14ac:dyDescent="0.2">
      <c r="B105" t="str">
        <f ca="1">IFERROR(MATCH($A$1,OFFSET('Trang thiet bi'!#REF!,'Nhãn KK'!$B104,0,1000),0)+'Nhãn KK'!$B104,"")</f>
        <v/>
      </c>
      <c r="C105" t="str">
        <f ca="1">IF(B105="","",_xlfn.XLOOKUP($B105,'Trang thiet bi'!#REF!,'Trang thiet bi'!B:B))</f>
        <v/>
      </c>
      <c r="D105" t="str">
        <f ca="1">IF(C105="","",_xlfn.XLOOKUP($B105,'Trang thiet bi'!#REF!,'Trang thiet bi'!C:C))</f>
        <v/>
      </c>
      <c r="E105">
        <v>31</v>
      </c>
      <c r="F105">
        <v>12</v>
      </c>
      <c r="G105">
        <v>2024</v>
      </c>
      <c r="H105" t="s">
        <v>307</v>
      </c>
    </row>
    <row r="106" spans="2:8" x14ac:dyDescent="0.2">
      <c r="B106" t="str">
        <f ca="1">IFERROR(MATCH($A$1,OFFSET('Trang thiet bi'!#REF!,'Nhãn KK'!$B105,0,1000),0)+'Nhãn KK'!$B105,"")</f>
        <v/>
      </c>
      <c r="C106" t="str">
        <f ca="1">IF(B106="","",_xlfn.XLOOKUP($B106,'Trang thiet bi'!#REF!,'Trang thiet bi'!B:B))</f>
        <v/>
      </c>
      <c r="D106" t="str">
        <f ca="1">IF(C106="","",_xlfn.XLOOKUP($B106,'Trang thiet bi'!#REF!,'Trang thiet bi'!C:C))</f>
        <v/>
      </c>
      <c r="E106">
        <v>31</v>
      </c>
      <c r="F106">
        <v>12</v>
      </c>
      <c r="G106">
        <v>2024</v>
      </c>
      <c r="H106" t="s">
        <v>307</v>
      </c>
    </row>
    <row r="107" spans="2:8" x14ac:dyDescent="0.2">
      <c r="B107" t="str">
        <f ca="1">IFERROR(MATCH($A$1,OFFSET('Trang thiet bi'!#REF!,'Nhãn KK'!$B106,0,1000),0)+'Nhãn KK'!$B106,"")</f>
        <v/>
      </c>
      <c r="C107" t="str">
        <f ca="1">IF(B107="","",_xlfn.XLOOKUP($B107,'Trang thiet bi'!#REF!,'Trang thiet bi'!B:B))</f>
        <v/>
      </c>
      <c r="D107" t="str">
        <f ca="1">IF(C107="","",_xlfn.XLOOKUP($B107,'Trang thiet bi'!#REF!,'Trang thiet bi'!C:C))</f>
        <v/>
      </c>
      <c r="E107">
        <v>31</v>
      </c>
      <c r="F107">
        <v>12</v>
      </c>
      <c r="G107">
        <v>2024</v>
      </c>
      <c r="H107" t="s">
        <v>307</v>
      </c>
    </row>
    <row r="108" spans="2:8" x14ac:dyDescent="0.2">
      <c r="B108" t="str">
        <f ca="1">IFERROR(MATCH($A$1,OFFSET('Trang thiet bi'!#REF!,'Nhãn KK'!$B107,0,1000),0)+'Nhãn KK'!$B107,"")</f>
        <v/>
      </c>
      <c r="C108" t="str">
        <f ca="1">IF(B108="","",_xlfn.XLOOKUP($B108,'Trang thiet bi'!#REF!,'Trang thiet bi'!B:B))</f>
        <v/>
      </c>
      <c r="D108" t="str">
        <f ca="1">IF(C108="","",_xlfn.XLOOKUP($B108,'Trang thiet bi'!#REF!,'Trang thiet bi'!C:C))</f>
        <v/>
      </c>
      <c r="E108">
        <v>31</v>
      </c>
      <c r="F108">
        <v>12</v>
      </c>
      <c r="G108">
        <v>2024</v>
      </c>
      <c r="H108" t="s">
        <v>307</v>
      </c>
    </row>
    <row r="109" spans="2:8" x14ac:dyDescent="0.2">
      <c r="B109" t="str">
        <f ca="1">IFERROR(MATCH($A$1,OFFSET('Trang thiet bi'!#REF!,'Nhãn KK'!$B108,0,1000),0)+'Nhãn KK'!$B108,"")</f>
        <v/>
      </c>
      <c r="C109" t="str">
        <f ca="1">IF(B109="","",_xlfn.XLOOKUP($B109,'Trang thiet bi'!#REF!,'Trang thiet bi'!B:B))</f>
        <v/>
      </c>
      <c r="D109" t="str">
        <f ca="1">IF(C109="","",_xlfn.XLOOKUP($B109,'Trang thiet bi'!#REF!,'Trang thiet bi'!C:C))</f>
        <v/>
      </c>
      <c r="E109">
        <v>31</v>
      </c>
      <c r="F109">
        <v>12</v>
      </c>
      <c r="G109">
        <v>2024</v>
      </c>
      <c r="H109" t="s">
        <v>307</v>
      </c>
    </row>
    <row r="110" spans="2:8" x14ac:dyDescent="0.2">
      <c r="B110" t="str">
        <f ca="1">IFERROR(MATCH($A$1,OFFSET('Trang thiet bi'!#REF!,'Nhãn KK'!$B109,0,1000),0)+'Nhãn KK'!$B109,"")</f>
        <v/>
      </c>
      <c r="C110" t="str">
        <f ca="1">IF(B110="","",_xlfn.XLOOKUP($B110,'Trang thiet bi'!#REF!,'Trang thiet bi'!B:B))</f>
        <v/>
      </c>
      <c r="D110" t="str">
        <f ca="1">IF(C110="","",_xlfn.XLOOKUP($B110,'Trang thiet bi'!#REF!,'Trang thiet bi'!C:C))</f>
        <v/>
      </c>
      <c r="E110">
        <v>31</v>
      </c>
      <c r="F110">
        <v>12</v>
      </c>
      <c r="G110">
        <v>2024</v>
      </c>
      <c r="H110" t="s">
        <v>307</v>
      </c>
    </row>
    <row r="111" spans="2:8" x14ac:dyDescent="0.2">
      <c r="B111" t="str">
        <f ca="1">IFERROR(MATCH($A$1,OFFSET('Trang thiet bi'!#REF!,'Nhãn KK'!$B110,0,1000),0)+'Nhãn KK'!$B110,"")</f>
        <v/>
      </c>
      <c r="C111" t="str">
        <f ca="1">IF(B111="","",_xlfn.XLOOKUP($B111,'Trang thiet bi'!#REF!,'Trang thiet bi'!B:B))</f>
        <v/>
      </c>
      <c r="D111" t="str">
        <f ca="1">IF(C111="","",_xlfn.XLOOKUP($B111,'Trang thiet bi'!#REF!,'Trang thiet bi'!C:C))</f>
        <v/>
      </c>
      <c r="E111">
        <v>31</v>
      </c>
      <c r="F111">
        <v>12</v>
      </c>
      <c r="G111">
        <v>2024</v>
      </c>
      <c r="H111" t="s">
        <v>307</v>
      </c>
    </row>
    <row r="112" spans="2:8" x14ac:dyDescent="0.2">
      <c r="B112" t="str">
        <f ca="1">IFERROR(MATCH($A$1,OFFSET('Trang thiet bi'!#REF!,'Nhãn KK'!$B111,0,1000),0)+'Nhãn KK'!$B111,"")</f>
        <v/>
      </c>
      <c r="C112" t="str">
        <f ca="1">IF(B112="","",_xlfn.XLOOKUP($B112,'Trang thiet bi'!#REF!,'Trang thiet bi'!B:B))</f>
        <v/>
      </c>
      <c r="D112" t="str">
        <f ca="1">IF(C112="","",_xlfn.XLOOKUP($B112,'Trang thiet bi'!#REF!,'Trang thiet bi'!C:C))</f>
        <v/>
      </c>
      <c r="E112">
        <v>31</v>
      </c>
      <c r="F112">
        <v>12</v>
      </c>
      <c r="G112">
        <v>2024</v>
      </c>
      <c r="H112" t="s">
        <v>307</v>
      </c>
    </row>
    <row r="113" spans="2:8" x14ac:dyDescent="0.2">
      <c r="B113" t="str">
        <f ca="1">IFERROR(MATCH($A$1,OFFSET('Trang thiet bi'!#REF!,'Nhãn KK'!$B112,0,1000),0)+'Nhãn KK'!$B112,"")</f>
        <v/>
      </c>
      <c r="C113" t="str">
        <f ca="1">IF(B113="","",_xlfn.XLOOKUP($B113,'Trang thiet bi'!#REF!,'Trang thiet bi'!B:B))</f>
        <v/>
      </c>
      <c r="D113" t="str">
        <f ca="1">IF(C113="","",_xlfn.XLOOKUP($B113,'Trang thiet bi'!#REF!,'Trang thiet bi'!C:C))</f>
        <v/>
      </c>
      <c r="E113">
        <v>31</v>
      </c>
      <c r="F113">
        <v>12</v>
      </c>
      <c r="G113">
        <v>2024</v>
      </c>
      <c r="H113" t="s">
        <v>307</v>
      </c>
    </row>
    <row r="114" spans="2:8" x14ac:dyDescent="0.2">
      <c r="B114" t="str">
        <f ca="1">IFERROR(MATCH($A$1,OFFSET('Trang thiet bi'!#REF!,'Nhãn KK'!$B113,0,1000),0)+'Nhãn KK'!$B113,"")</f>
        <v/>
      </c>
      <c r="C114" t="str">
        <f ca="1">IF(B114="","",_xlfn.XLOOKUP($B114,'Trang thiet bi'!#REF!,'Trang thiet bi'!B:B))</f>
        <v/>
      </c>
      <c r="D114" t="str">
        <f ca="1">IF(C114="","",_xlfn.XLOOKUP($B114,'Trang thiet bi'!#REF!,'Trang thiet bi'!C:C))</f>
        <v/>
      </c>
      <c r="E114">
        <v>31</v>
      </c>
      <c r="F114">
        <v>12</v>
      </c>
      <c r="G114">
        <v>2024</v>
      </c>
      <c r="H114" t="s">
        <v>307</v>
      </c>
    </row>
    <row r="115" spans="2:8" x14ac:dyDescent="0.2">
      <c r="B115" t="str">
        <f ca="1">IFERROR(MATCH($A$1,OFFSET('Trang thiet bi'!#REF!,'Nhãn KK'!$B114,0,1000),0)+'Nhãn KK'!$B114,"")</f>
        <v/>
      </c>
      <c r="C115" t="str">
        <f ca="1">IF(B115="","",_xlfn.XLOOKUP($B115,'Trang thiet bi'!#REF!,'Trang thiet bi'!B:B))</f>
        <v/>
      </c>
      <c r="D115" t="str">
        <f ca="1">IF(C115="","",_xlfn.XLOOKUP($B115,'Trang thiet bi'!#REF!,'Trang thiet bi'!C:C))</f>
        <v/>
      </c>
      <c r="E115">
        <v>31</v>
      </c>
      <c r="F115">
        <v>12</v>
      </c>
      <c r="G115">
        <v>2024</v>
      </c>
      <c r="H115" t="s">
        <v>307</v>
      </c>
    </row>
    <row r="116" spans="2:8" x14ac:dyDescent="0.2">
      <c r="B116" t="str">
        <f ca="1">IFERROR(MATCH($A$1,OFFSET('Trang thiet bi'!#REF!,'Nhãn KK'!$B115,0,1000),0)+'Nhãn KK'!$B115,"")</f>
        <v/>
      </c>
      <c r="C116" t="str">
        <f ca="1">IF(B116="","",_xlfn.XLOOKUP($B116,'Trang thiet bi'!#REF!,'Trang thiet bi'!B:B))</f>
        <v/>
      </c>
      <c r="D116" t="str">
        <f ca="1">IF(C116="","",_xlfn.XLOOKUP($B116,'Trang thiet bi'!#REF!,'Trang thiet bi'!C:C))</f>
        <v/>
      </c>
      <c r="E116">
        <v>31</v>
      </c>
      <c r="F116">
        <v>12</v>
      </c>
      <c r="G116">
        <v>2024</v>
      </c>
      <c r="H116" t="s">
        <v>307</v>
      </c>
    </row>
    <row r="117" spans="2:8" x14ac:dyDescent="0.2">
      <c r="B117" t="str">
        <f ca="1">IFERROR(MATCH($A$1,OFFSET('Trang thiet bi'!#REF!,'Nhãn KK'!$B116,0,1000),0)+'Nhãn KK'!$B116,"")</f>
        <v/>
      </c>
      <c r="C117" t="str">
        <f ca="1">IF(B117="","",_xlfn.XLOOKUP($B117,'Trang thiet bi'!#REF!,'Trang thiet bi'!B:B))</f>
        <v/>
      </c>
      <c r="D117" t="str">
        <f ca="1">IF(C117="","",_xlfn.XLOOKUP($B117,'Trang thiet bi'!#REF!,'Trang thiet bi'!C:C))</f>
        <v/>
      </c>
      <c r="E117">
        <v>31</v>
      </c>
      <c r="F117">
        <v>12</v>
      </c>
      <c r="G117">
        <v>2024</v>
      </c>
      <c r="H117" t="s">
        <v>307</v>
      </c>
    </row>
    <row r="118" spans="2:8" x14ac:dyDescent="0.2">
      <c r="B118" t="str">
        <f ca="1">IFERROR(MATCH($A$1,OFFSET('Trang thiet bi'!#REF!,'Nhãn KK'!$B117,0,1000),0)+'Nhãn KK'!$B117,"")</f>
        <v/>
      </c>
      <c r="C118" t="str">
        <f ca="1">IF(B118="","",_xlfn.XLOOKUP($B118,'Trang thiet bi'!#REF!,'Trang thiet bi'!B:B))</f>
        <v/>
      </c>
      <c r="D118" t="str">
        <f ca="1">IF(C118="","",_xlfn.XLOOKUP($B118,'Trang thiet bi'!#REF!,'Trang thiet bi'!C:C))</f>
        <v/>
      </c>
      <c r="E118">
        <v>31</v>
      </c>
      <c r="F118">
        <v>12</v>
      </c>
      <c r="G118">
        <v>2024</v>
      </c>
      <c r="H118" t="s">
        <v>307</v>
      </c>
    </row>
    <row r="119" spans="2:8" x14ac:dyDescent="0.2">
      <c r="B119" t="str">
        <f ca="1">IFERROR(MATCH($A$1,OFFSET('Trang thiet bi'!#REF!,'Nhãn KK'!$B118,0,1000),0)+'Nhãn KK'!$B118,"")</f>
        <v/>
      </c>
      <c r="C119" t="str">
        <f ca="1">IF(B119="","",_xlfn.XLOOKUP($B119,'Trang thiet bi'!#REF!,'Trang thiet bi'!B:B))</f>
        <v/>
      </c>
      <c r="D119" t="str">
        <f ca="1">IF(C119="","",_xlfn.XLOOKUP($B119,'Trang thiet bi'!#REF!,'Trang thiet bi'!C:C))</f>
        <v/>
      </c>
      <c r="E119">
        <v>31</v>
      </c>
      <c r="F119">
        <v>12</v>
      </c>
      <c r="G119">
        <v>2024</v>
      </c>
      <c r="H119" t="s">
        <v>307</v>
      </c>
    </row>
    <row r="120" spans="2:8" x14ac:dyDescent="0.2">
      <c r="B120" t="str">
        <f ca="1">IFERROR(MATCH($A$1,OFFSET('Trang thiet bi'!#REF!,'Nhãn KK'!$B119,0,1000),0)+'Nhãn KK'!$B119,"")</f>
        <v/>
      </c>
      <c r="C120" t="str">
        <f ca="1">IF(B120="","",_xlfn.XLOOKUP($B120,'Trang thiet bi'!#REF!,'Trang thiet bi'!B:B))</f>
        <v/>
      </c>
      <c r="D120" t="str">
        <f ca="1">IF(C120="","",_xlfn.XLOOKUP($B120,'Trang thiet bi'!#REF!,'Trang thiet bi'!C:C))</f>
        <v/>
      </c>
      <c r="E120">
        <v>31</v>
      </c>
      <c r="F120">
        <v>12</v>
      </c>
      <c r="G120">
        <v>2024</v>
      </c>
      <c r="H120" t="s">
        <v>307</v>
      </c>
    </row>
    <row r="121" spans="2:8" x14ac:dyDescent="0.2">
      <c r="B121" t="str">
        <f ca="1">IFERROR(MATCH($A$1,OFFSET('Trang thiet bi'!#REF!,'Nhãn KK'!$B120,0,1000),0)+'Nhãn KK'!$B120,"")</f>
        <v/>
      </c>
      <c r="C121" t="str">
        <f ca="1">IF(B121="","",_xlfn.XLOOKUP($B121,'Trang thiet bi'!#REF!,'Trang thiet bi'!B:B))</f>
        <v/>
      </c>
      <c r="D121" t="str">
        <f ca="1">IF(C121="","",_xlfn.XLOOKUP($B121,'Trang thiet bi'!#REF!,'Trang thiet bi'!C:C))</f>
        <v/>
      </c>
      <c r="E121">
        <v>31</v>
      </c>
      <c r="F121">
        <v>12</v>
      </c>
      <c r="G121">
        <v>2024</v>
      </c>
      <c r="H121" t="s">
        <v>307</v>
      </c>
    </row>
    <row r="122" spans="2:8" x14ac:dyDescent="0.2">
      <c r="B122" t="str">
        <f ca="1">IFERROR(MATCH($A$1,OFFSET('Trang thiet bi'!#REF!,'Nhãn KK'!$B121,0,1000),0)+'Nhãn KK'!$B121,"")</f>
        <v/>
      </c>
      <c r="C122" t="str">
        <f ca="1">IF(B122="","",_xlfn.XLOOKUP($B122,'Trang thiet bi'!#REF!,'Trang thiet bi'!B:B))</f>
        <v/>
      </c>
      <c r="D122" t="str">
        <f ca="1">IF(C122="","",_xlfn.XLOOKUP($B122,'Trang thiet bi'!#REF!,'Trang thiet bi'!C:C))</f>
        <v/>
      </c>
      <c r="E122">
        <v>31</v>
      </c>
      <c r="F122">
        <v>12</v>
      </c>
      <c r="G122">
        <v>2024</v>
      </c>
      <c r="H122" t="s">
        <v>307</v>
      </c>
    </row>
    <row r="123" spans="2:8" x14ac:dyDescent="0.2">
      <c r="B123" t="str">
        <f ca="1">IFERROR(MATCH($A$1,OFFSET('Trang thiet bi'!#REF!,'Nhãn KK'!$B122,0,1000),0)+'Nhãn KK'!$B122,"")</f>
        <v/>
      </c>
      <c r="C123" t="str">
        <f ca="1">IF(B123="","",_xlfn.XLOOKUP($B123,'Trang thiet bi'!#REF!,'Trang thiet bi'!B:B))</f>
        <v/>
      </c>
      <c r="D123" t="str">
        <f ca="1">IF(C123="","",_xlfn.XLOOKUP($B123,'Trang thiet bi'!#REF!,'Trang thiet bi'!C:C))</f>
        <v/>
      </c>
      <c r="E123">
        <v>31</v>
      </c>
      <c r="F123">
        <v>12</v>
      </c>
      <c r="G123">
        <v>2024</v>
      </c>
      <c r="H123" t="s">
        <v>307</v>
      </c>
    </row>
    <row r="124" spans="2:8" x14ac:dyDescent="0.2">
      <c r="B124" t="str">
        <f ca="1">IFERROR(MATCH($A$1,OFFSET('Trang thiet bi'!#REF!,'Nhãn KK'!$B123,0,1000),0)+'Nhãn KK'!$B123,"")</f>
        <v/>
      </c>
      <c r="C124" t="str">
        <f ca="1">IF(B124="","",_xlfn.XLOOKUP($B124,'Trang thiet bi'!#REF!,'Trang thiet bi'!B:B))</f>
        <v/>
      </c>
      <c r="D124" t="str">
        <f ca="1">IF(C124="","",_xlfn.XLOOKUP($B124,'Trang thiet bi'!#REF!,'Trang thiet bi'!C:C))</f>
        <v/>
      </c>
      <c r="E124">
        <v>31</v>
      </c>
      <c r="F124">
        <v>12</v>
      </c>
      <c r="G124">
        <v>2024</v>
      </c>
      <c r="H124" t="s">
        <v>307</v>
      </c>
    </row>
    <row r="125" spans="2:8" x14ac:dyDescent="0.2">
      <c r="B125" t="str">
        <f ca="1">IFERROR(MATCH($A$1,OFFSET('Trang thiet bi'!#REF!,'Nhãn KK'!$B124,0,1000),0)+'Nhãn KK'!$B124,"")</f>
        <v/>
      </c>
      <c r="C125" t="str">
        <f ca="1">IF(B125="","",_xlfn.XLOOKUP($B125,'Trang thiet bi'!#REF!,'Trang thiet bi'!B:B))</f>
        <v/>
      </c>
      <c r="D125" t="str">
        <f ca="1">IF(C125="","",_xlfn.XLOOKUP($B125,'Trang thiet bi'!#REF!,'Trang thiet bi'!C:C))</f>
        <v/>
      </c>
      <c r="E125">
        <v>31</v>
      </c>
      <c r="F125">
        <v>12</v>
      </c>
      <c r="G125">
        <v>2024</v>
      </c>
      <c r="H125" t="s">
        <v>307</v>
      </c>
    </row>
    <row r="126" spans="2:8" x14ac:dyDescent="0.2">
      <c r="B126" t="str">
        <f ca="1">IFERROR(MATCH($A$1,OFFSET('Trang thiet bi'!#REF!,'Nhãn KK'!$B125,0,1000),0)+'Nhãn KK'!$B125,"")</f>
        <v/>
      </c>
      <c r="C126" t="str">
        <f ca="1">IF(B126="","",_xlfn.XLOOKUP($B126,'Trang thiet bi'!#REF!,'Trang thiet bi'!B:B))</f>
        <v/>
      </c>
      <c r="D126" t="str">
        <f ca="1">IF(C126="","",_xlfn.XLOOKUP($B126,'Trang thiet bi'!#REF!,'Trang thiet bi'!C:C))</f>
        <v/>
      </c>
      <c r="E126">
        <v>31</v>
      </c>
      <c r="F126">
        <v>12</v>
      </c>
      <c r="G126">
        <v>2024</v>
      </c>
      <c r="H126" t="s">
        <v>307</v>
      </c>
    </row>
    <row r="127" spans="2:8" x14ac:dyDescent="0.2">
      <c r="B127" t="str">
        <f ca="1">IFERROR(MATCH($A$1,OFFSET('Trang thiet bi'!#REF!,'Nhãn KK'!$B126,0,1000),0)+'Nhãn KK'!$B126,"")</f>
        <v/>
      </c>
      <c r="C127" t="str">
        <f ca="1">IF(B127="","",_xlfn.XLOOKUP($B127,'Trang thiet bi'!#REF!,'Trang thiet bi'!B:B))</f>
        <v/>
      </c>
      <c r="D127" t="str">
        <f ca="1">IF(C127="","",_xlfn.XLOOKUP($B127,'Trang thiet bi'!#REF!,'Trang thiet bi'!C:C))</f>
        <v/>
      </c>
      <c r="E127">
        <v>31</v>
      </c>
      <c r="F127">
        <v>12</v>
      </c>
      <c r="G127">
        <v>2024</v>
      </c>
      <c r="H127" t="s">
        <v>307</v>
      </c>
    </row>
    <row r="128" spans="2:8" x14ac:dyDescent="0.2">
      <c r="B128" t="str">
        <f ca="1">IFERROR(MATCH($A$1,OFFSET('Trang thiet bi'!#REF!,'Nhãn KK'!$B127,0,1000),0)+'Nhãn KK'!$B127,"")</f>
        <v/>
      </c>
      <c r="C128" t="str">
        <f ca="1">IF(B128="","",_xlfn.XLOOKUP($B128,'Trang thiet bi'!#REF!,'Trang thiet bi'!B:B))</f>
        <v/>
      </c>
      <c r="D128" t="str">
        <f ca="1">IF(C128="","",_xlfn.XLOOKUP($B128,'Trang thiet bi'!#REF!,'Trang thiet bi'!C:C))</f>
        <v/>
      </c>
      <c r="E128">
        <v>31</v>
      </c>
      <c r="F128">
        <v>12</v>
      </c>
      <c r="G128">
        <v>2024</v>
      </c>
      <c r="H128" t="s">
        <v>307</v>
      </c>
    </row>
    <row r="129" spans="2:8" x14ac:dyDescent="0.2">
      <c r="B129" t="str">
        <f ca="1">IFERROR(MATCH($A$1,OFFSET('Trang thiet bi'!#REF!,'Nhãn KK'!$B128,0,1000),0)+'Nhãn KK'!$B128,"")</f>
        <v/>
      </c>
      <c r="C129" t="str">
        <f ca="1">IF(B129="","",_xlfn.XLOOKUP($B129,'Trang thiet bi'!#REF!,'Trang thiet bi'!B:B))</f>
        <v/>
      </c>
      <c r="D129" t="str">
        <f ca="1">IF(C129="","",_xlfn.XLOOKUP($B129,'Trang thiet bi'!#REF!,'Trang thiet bi'!C:C))</f>
        <v/>
      </c>
      <c r="E129">
        <v>31</v>
      </c>
      <c r="F129">
        <v>12</v>
      </c>
      <c r="G129">
        <v>2024</v>
      </c>
      <c r="H129" t="s">
        <v>307</v>
      </c>
    </row>
    <row r="130" spans="2:8" x14ac:dyDescent="0.2">
      <c r="B130" t="str">
        <f ca="1">IFERROR(MATCH($A$1,OFFSET('Trang thiet bi'!#REF!,'Nhãn KK'!$B129,0,1000),0)+'Nhãn KK'!$B129,"")</f>
        <v/>
      </c>
      <c r="C130" t="str">
        <f ca="1">IF(B130="","",_xlfn.XLOOKUP($B130,'Trang thiet bi'!#REF!,'Trang thiet bi'!B:B))</f>
        <v/>
      </c>
      <c r="D130" t="str">
        <f ca="1">IF(C130="","",_xlfn.XLOOKUP($B130,'Trang thiet bi'!#REF!,'Trang thiet bi'!C:C))</f>
        <v/>
      </c>
      <c r="E130">
        <v>31</v>
      </c>
      <c r="F130">
        <v>12</v>
      </c>
      <c r="G130">
        <v>2024</v>
      </c>
      <c r="H130" t="s">
        <v>307</v>
      </c>
    </row>
    <row r="131" spans="2:8" x14ac:dyDescent="0.2">
      <c r="B131" t="str">
        <f ca="1">IFERROR(MATCH($A$1,OFFSET('Trang thiet bi'!#REF!,'Nhãn KK'!$B130,0,1000),0)+'Nhãn KK'!$B130,"")</f>
        <v/>
      </c>
      <c r="C131" t="str">
        <f ca="1">IF(B131="","",_xlfn.XLOOKUP($B131,'Trang thiet bi'!#REF!,'Trang thiet bi'!B:B))</f>
        <v/>
      </c>
      <c r="D131" t="str">
        <f ca="1">IF(C131="","",_xlfn.XLOOKUP($B131,'Trang thiet bi'!#REF!,'Trang thiet bi'!C:C))</f>
        <v/>
      </c>
      <c r="E131">
        <v>31</v>
      </c>
      <c r="F131">
        <v>12</v>
      </c>
      <c r="G131">
        <v>2024</v>
      </c>
      <c r="H131" t="s">
        <v>307</v>
      </c>
    </row>
    <row r="132" spans="2:8" x14ac:dyDescent="0.2">
      <c r="B132" t="str">
        <f ca="1">IFERROR(MATCH($A$1,OFFSET('Trang thiet bi'!#REF!,'Nhãn KK'!$B131,0,1000),0)+'Nhãn KK'!$B131,"")</f>
        <v/>
      </c>
      <c r="C132" t="str">
        <f ca="1">IF(B132="","",_xlfn.XLOOKUP($B132,'Trang thiet bi'!#REF!,'Trang thiet bi'!B:B))</f>
        <v/>
      </c>
      <c r="D132" t="str">
        <f ca="1">IF(C132="","",_xlfn.XLOOKUP($B132,'Trang thiet bi'!#REF!,'Trang thiet bi'!C:C))</f>
        <v/>
      </c>
      <c r="E132">
        <v>31</v>
      </c>
      <c r="F132">
        <v>12</v>
      </c>
      <c r="G132">
        <v>2024</v>
      </c>
      <c r="H132" t="s">
        <v>307</v>
      </c>
    </row>
    <row r="133" spans="2:8" x14ac:dyDescent="0.2">
      <c r="B133" t="str">
        <f ca="1">IFERROR(MATCH($A$1,OFFSET('Trang thiet bi'!#REF!,'Nhãn KK'!$B132,0,1000),0)+'Nhãn KK'!$B132,"")</f>
        <v/>
      </c>
      <c r="C133" t="str">
        <f ca="1">IF(B133="","",_xlfn.XLOOKUP($B133,'Trang thiet bi'!#REF!,'Trang thiet bi'!B:B))</f>
        <v/>
      </c>
      <c r="D133" t="str">
        <f ca="1">IF(C133="","",_xlfn.XLOOKUP($B133,'Trang thiet bi'!#REF!,'Trang thiet bi'!C:C))</f>
        <v/>
      </c>
      <c r="E133">
        <v>31</v>
      </c>
      <c r="F133">
        <v>12</v>
      </c>
      <c r="G133">
        <v>2024</v>
      </c>
      <c r="H133" t="s">
        <v>307</v>
      </c>
    </row>
    <row r="134" spans="2:8" x14ac:dyDescent="0.2">
      <c r="B134" t="str">
        <f ca="1">IFERROR(MATCH($A$1,OFFSET('Trang thiet bi'!#REF!,'Nhãn KK'!$B133,0,1000),0)+'Nhãn KK'!$B133,"")</f>
        <v/>
      </c>
      <c r="C134" t="str">
        <f ca="1">IF(B134="","",_xlfn.XLOOKUP($B134,'Trang thiet bi'!#REF!,'Trang thiet bi'!B:B))</f>
        <v/>
      </c>
      <c r="D134" t="str">
        <f ca="1">IF(C134="","",_xlfn.XLOOKUP($B134,'Trang thiet bi'!#REF!,'Trang thiet bi'!C:C))</f>
        <v/>
      </c>
      <c r="E134">
        <v>31</v>
      </c>
      <c r="F134">
        <v>12</v>
      </c>
      <c r="G134">
        <v>2024</v>
      </c>
      <c r="H134" t="s">
        <v>307</v>
      </c>
    </row>
    <row r="135" spans="2:8" x14ac:dyDescent="0.2">
      <c r="B135" t="str">
        <f ca="1">IFERROR(MATCH($A$1,OFFSET('Trang thiet bi'!#REF!,'Nhãn KK'!$B134,0,1000),0)+'Nhãn KK'!$B134,"")</f>
        <v/>
      </c>
      <c r="C135" t="str">
        <f ca="1">IF(B135="","",_xlfn.XLOOKUP($B135,'Trang thiet bi'!#REF!,'Trang thiet bi'!B:B))</f>
        <v/>
      </c>
      <c r="D135" t="str">
        <f ca="1">IF(C135="","",_xlfn.XLOOKUP($B135,'Trang thiet bi'!#REF!,'Trang thiet bi'!C:C))</f>
        <v/>
      </c>
      <c r="E135">
        <v>31</v>
      </c>
      <c r="F135">
        <v>12</v>
      </c>
      <c r="G135">
        <v>2024</v>
      </c>
      <c r="H135" t="s">
        <v>307</v>
      </c>
    </row>
    <row r="136" spans="2:8" x14ac:dyDescent="0.2">
      <c r="B136" t="str">
        <f ca="1">IFERROR(MATCH($A$1,OFFSET('Trang thiet bi'!#REF!,'Nhãn KK'!$B135,0,1000),0)+'Nhãn KK'!$B135,"")</f>
        <v/>
      </c>
      <c r="C136" t="str">
        <f ca="1">IF(B136="","",_xlfn.XLOOKUP($B136,'Trang thiet bi'!#REF!,'Trang thiet bi'!B:B))</f>
        <v/>
      </c>
      <c r="D136" t="str">
        <f ca="1">IF(C136="","",_xlfn.XLOOKUP($B136,'Trang thiet bi'!#REF!,'Trang thiet bi'!C:C))</f>
        <v/>
      </c>
      <c r="E136">
        <v>31</v>
      </c>
      <c r="F136">
        <v>12</v>
      </c>
      <c r="G136">
        <v>2024</v>
      </c>
      <c r="H136" t="s">
        <v>307</v>
      </c>
    </row>
    <row r="137" spans="2:8" x14ac:dyDescent="0.2">
      <c r="B137" t="str">
        <f ca="1">IFERROR(MATCH($A$1,OFFSET('Trang thiet bi'!#REF!,'Nhãn KK'!$B136,0,1000),0)+'Nhãn KK'!$B136,"")</f>
        <v/>
      </c>
      <c r="C137" t="str">
        <f ca="1">IF(B137="","",_xlfn.XLOOKUP($B137,'Trang thiet bi'!#REF!,'Trang thiet bi'!B:B))</f>
        <v/>
      </c>
      <c r="D137" t="str">
        <f ca="1">IF(C137="","",_xlfn.XLOOKUP($B137,'Trang thiet bi'!#REF!,'Trang thiet bi'!C:C))</f>
        <v/>
      </c>
      <c r="E137">
        <v>31</v>
      </c>
      <c r="F137">
        <v>12</v>
      </c>
      <c r="G137">
        <v>2024</v>
      </c>
      <c r="H137" t="s">
        <v>307</v>
      </c>
    </row>
    <row r="138" spans="2:8" x14ac:dyDescent="0.2">
      <c r="B138" t="str">
        <f ca="1">IFERROR(MATCH($A$1,OFFSET('Trang thiet bi'!#REF!,'Nhãn KK'!$B137,0,1000),0)+'Nhãn KK'!$B137,"")</f>
        <v/>
      </c>
      <c r="C138" t="str">
        <f ca="1">IF(B138="","",_xlfn.XLOOKUP($B138,'Trang thiet bi'!#REF!,'Trang thiet bi'!B:B))</f>
        <v/>
      </c>
      <c r="D138" t="str">
        <f ca="1">IF(C138="","",_xlfn.XLOOKUP($B138,'Trang thiet bi'!#REF!,'Trang thiet bi'!C:C))</f>
        <v/>
      </c>
      <c r="E138">
        <v>31</v>
      </c>
      <c r="F138">
        <v>12</v>
      </c>
      <c r="G138">
        <v>2024</v>
      </c>
      <c r="H138" t="s">
        <v>307</v>
      </c>
    </row>
    <row r="139" spans="2:8" x14ac:dyDescent="0.2">
      <c r="B139" t="str">
        <f ca="1">IFERROR(MATCH($A$1,OFFSET('Trang thiet bi'!#REF!,'Nhãn KK'!$B138,0,1000),0)+'Nhãn KK'!$B138,"")</f>
        <v/>
      </c>
      <c r="C139" t="str">
        <f ca="1">IF(B139="","",_xlfn.XLOOKUP($B139,'Trang thiet bi'!#REF!,'Trang thiet bi'!B:B))</f>
        <v/>
      </c>
      <c r="D139" t="str">
        <f ca="1">IF(C139="","",_xlfn.XLOOKUP($B139,'Trang thiet bi'!#REF!,'Trang thiet bi'!C:C))</f>
        <v/>
      </c>
      <c r="E139">
        <v>31</v>
      </c>
      <c r="F139">
        <v>12</v>
      </c>
      <c r="G139">
        <v>2024</v>
      </c>
      <c r="H139" t="s">
        <v>307</v>
      </c>
    </row>
    <row r="140" spans="2:8" x14ac:dyDescent="0.2">
      <c r="B140" t="str">
        <f ca="1">IFERROR(MATCH($A$1,OFFSET('Trang thiet bi'!#REF!,'Nhãn KK'!$B139,0,1000),0)+'Nhãn KK'!$B139,"")</f>
        <v/>
      </c>
      <c r="C140" t="str">
        <f ca="1">IF(B140="","",_xlfn.XLOOKUP($B140,'Trang thiet bi'!#REF!,'Trang thiet bi'!B:B))</f>
        <v/>
      </c>
      <c r="D140" t="str">
        <f ca="1">IF(C140="","",_xlfn.XLOOKUP($B140,'Trang thiet bi'!#REF!,'Trang thiet bi'!C:C))</f>
        <v/>
      </c>
      <c r="E140">
        <v>31</v>
      </c>
      <c r="F140">
        <v>12</v>
      </c>
      <c r="G140">
        <v>2024</v>
      </c>
      <c r="H140" t="s">
        <v>307</v>
      </c>
    </row>
    <row r="141" spans="2:8" x14ac:dyDescent="0.2">
      <c r="B141" t="str">
        <f ca="1">IFERROR(MATCH($A$1,OFFSET('Trang thiet bi'!#REF!,'Nhãn KK'!$B140,0,1000),0)+'Nhãn KK'!$B140,"")</f>
        <v/>
      </c>
      <c r="C141" t="str">
        <f ca="1">IF(B141="","",_xlfn.XLOOKUP($B141,'Trang thiet bi'!#REF!,'Trang thiet bi'!B:B))</f>
        <v/>
      </c>
      <c r="D141" t="str">
        <f ca="1">IF(C141="","",_xlfn.XLOOKUP($B141,'Trang thiet bi'!#REF!,'Trang thiet bi'!C:C))</f>
        <v/>
      </c>
      <c r="E141">
        <v>31</v>
      </c>
      <c r="F141">
        <v>12</v>
      </c>
      <c r="G141">
        <v>2024</v>
      </c>
      <c r="H141" t="s">
        <v>307</v>
      </c>
    </row>
    <row r="142" spans="2:8" x14ac:dyDescent="0.2">
      <c r="B142" t="str">
        <f ca="1">IFERROR(MATCH($A$1,OFFSET('Trang thiet bi'!#REF!,'Nhãn KK'!$B141,0,1000),0)+'Nhãn KK'!$B141,"")</f>
        <v/>
      </c>
      <c r="C142" t="str">
        <f ca="1">IF(B142="","",_xlfn.XLOOKUP($B142,'Trang thiet bi'!#REF!,'Trang thiet bi'!B:B))</f>
        <v/>
      </c>
      <c r="D142" t="str">
        <f ca="1">IF(C142="","",_xlfn.XLOOKUP($B142,'Trang thiet bi'!#REF!,'Trang thiet bi'!C:C))</f>
        <v/>
      </c>
      <c r="E142">
        <v>31</v>
      </c>
      <c r="F142">
        <v>12</v>
      </c>
      <c r="G142">
        <v>2024</v>
      </c>
      <c r="H142" t="s">
        <v>307</v>
      </c>
    </row>
    <row r="143" spans="2:8" x14ac:dyDescent="0.2">
      <c r="B143" t="str">
        <f ca="1">IFERROR(MATCH($A$1,OFFSET('Trang thiet bi'!#REF!,'Nhãn KK'!$B142,0,1000),0)+'Nhãn KK'!$B142,"")</f>
        <v/>
      </c>
      <c r="C143" t="str">
        <f ca="1">IF(B143="","",_xlfn.XLOOKUP($B143,'Trang thiet bi'!#REF!,'Trang thiet bi'!B:B))</f>
        <v/>
      </c>
      <c r="D143" t="str">
        <f ca="1">IF(C143="","",_xlfn.XLOOKUP($B143,'Trang thiet bi'!#REF!,'Trang thiet bi'!C:C))</f>
        <v/>
      </c>
      <c r="E143">
        <v>31</v>
      </c>
      <c r="F143">
        <v>12</v>
      </c>
      <c r="G143">
        <v>2024</v>
      </c>
      <c r="H143" t="s">
        <v>307</v>
      </c>
    </row>
    <row r="144" spans="2:8" x14ac:dyDescent="0.2">
      <c r="B144" t="str">
        <f ca="1">IFERROR(MATCH($A$1,OFFSET('Trang thiet bi'!#REF!,'Nhãn KK'!$B143,0,1000),0)+'Nhãn KK'!$B143,"")</f>
        <v/>
      </c>
      <c r="C144" t="str">
        <f ca="1">IF(B144="","",_xlfn.XLOOKUP($B144,'Trang thiet bi'!#REF!,'Trang thiet bi'!B:B))</f>
        <v/>
      </c>
      <c r="D144" t="str">
        <f ca="1">IF(C144="","",_xlfn.XLOOKUP($B144,'Trang thiet bi'!#REF!,'Trang thiet bi'!C:C))</f>
        <v/>
      </c>
      <c r="E144">
        <v>31</v>
      </c>
      <c r="F144">
        <v>12</v>
      </c>
      <c r="G144">
        <v>2024</v>
      </c>
      <c r="H144" t="s">
        <v>307</v>
      </c>
    </row>
    <row r="145" spans="2:8" x14ac:dyDescent="0.2">
      <c r="B145" t="str">
        <f ca="1">IFERROR(MATCH($A$1,OFFSET('Trang thiet bi'!#REF!,'Nhãn KK'!$B144,0,1000),0)+'Nhãn KK'!$B144,"")</f>
        <v/>
      </c>
      <c r="C145" t="str">
        <f ca="1">IF(B145="","",_xlfn.XLOOKUP($B145,'Trang thiet bi'!#REF!,'Trang thiet bi'!B:B))</f>
        <v/>
      </c>
      <c r="D145" t="str">
        <f ca="1">IF(C145="","",_xlfn.XLOOKUP($B145,'Trang thiet bi'!#REF!,'Trang thiet bi'!C:C))</f>
        <v/>
      </c>
      <c r="E145">
        <v>31</v>
      </c>
      <c r="F145">
        <v>12</v>
      </c>
      <c r="G145">
        <v>2024</v>
      </c>
      <c r="H145" t="s">
        <v>307</v>
      </c>
    </row>
    <row r="146" spans="2:8" x14ac:dyDescent="0.2">
      <c r="B146" t="str">
        <f ca="1">IFERROR(MATCH($A$1,OFFSET('Trang thiet bi'!#REF!,'Nhãn KK'!$B145,0,1000),0)+'Nhãn KK'!$B145,"")</f>
        <v/>
      </c>
      <c r="C146" t="str">
        <f ca="1">IF(B146="","",_xlfn.XLOOKUP($B146,'Trang thiet bi'!#REF!,'Trang thiet bi'!B:B))</f>
        <v/>
      </c>
      <c r="D146" t="str">
        <f ca="1">IF(C146="","",_xlfn.XLOOKUP($B146,'Trang thiet bi'!#REF!,'Trang thiet bi'!C:C))</f>
        <v/>
      </c>
      <c r="E146">
        <v>31</v>
      </c>
      <c r="F146">
        <v>12</v>
      </c>
      <c r="G146">
        <v>2024</v>
      </c>
      <c r="H146" t="s">
        <v>307</v>
      </c>
    </row>
    <row r="147" spans="2:8" x14ac:dyDescent="0.2">
      <c r="B147" t="str">
        <f ca="1">IFERROR(MATCH($A$1,OFFSET('Trang thiet bi'!#REF!,'Nhãn KK'!$B146,0,1000),0)+'Nhãn KK'!$B146,"")</f>
        <v/>
      </c>
      <c r="C147" t="str">
        <f ca="1">IF(B147="","",_xlfn.XLOOKUP($B147,'Trang thiet bi'!#REF!,'Trang thiet bi'!B:B))</f>
        <v/>
      </c>
      <c r="D147" t="str">
        <f ca="1">IF(C147="","",_xlfn.XLOOKUP($B147,'Trang thiet bi'!#REF!,'Trang thiet bi'!C:C))</f>
        <v/>
      </c>
      <c r="E147">
        <v>31</v>
      </c>
      <c r="F147">
        <v>12</v>
      </c>
      <c r="G147">
        <v>2024</v>
      </c>
      <c r="H147" t="s">
        <v>307</v>
      </c>
    </row>
    <row r="148" spans="2:8" x14ac:dyDescent="0.2">
      <c r="B148" t="str">
        <f ca="1">IFERROR(MATCH($A$1,OFFSET('Trang thiet bi'!#REF!,'Nhãn KK'!$B147,0,1000),0)+'Nhãn KK'!$B147,"")</f>
        <v/>
      </c>
      <c r="C148" t="str">
        <f ca="1">IF(B148="","",_xlfn.XLOOKUP($B148,'Trang thiet bi'!#REF!,'Trang thiet bi'!B:B))</f>
        <v/>
      </c>
      <c r="D148" t="str">
        <f ca="1">IF(C148="","",_xlfn.XLOOKUP($B148,'Trang thiet bi'!#REF!,'Trang thiet bi'!C:C))</f>
        <v/>
      </c>
      <c r="E148">
        <v>31</v>
      </c>
      <c r="F148">
        <v>12</v>
      </c>
      <c r="G148">
        <v>2024</v>
      </c>
      <c r="H148" t="s">
        <v>307</v>
      </c>
    </row>
    <row r="149" spans="2:8" x14ac:dyDescent="0.2">
      <c r="B149" t="str">
        <f ca="1">IFERROR(MATCH($A$1,OFFSET('Trang thiet bi'!#REF!,'Nhãn KK'!$B148,0,1000),0)+'Nhãn KK'!$B148,"")</f>
        <v/>
      </c>
      <c r="C149" t="str">
        <f ca="1">IF(B149="","",_xlfn.XLOOKUP($B149,'Trang thiet bi'!#REF!,'Trang thiet bi'!B:B))</f>
        <v/>
      </c>
      <c r="D149" t="str">
        <f ca="1">IF(C149="","",_xlfn.XLOOKUP($B149,'Trang thiet bi'!#REF!,'Trang thiet bi'!C:C))</f>
        <v/>
      </c>
      <c r="E149">
        <v>31</v>
      </c>
      <c r="F149">
        <v>12</v>
      </c>
      <c r="G149">
        <v>2024</v>
      </c>
      <c r="H149" t="s">
        <v>307</v>
      </c>
    </row>
    <row r="150" spans="2:8" x14ac:dyDescent="0.2">
      <c r="B150" t="str">
        <f ca="1">IFERROR(MATCH($A$1,OFFSET('Trang thiet bi'!#REF!,'Nhãn KK'!$B149,0,1000),0)+'Nhãn KK'!$B149,"")</f>
        <v/>
      </c>
      <c r="C150" t="str">
        <f ca="1">IF(B150="","",_xlfn.XLOOKUP($B150,'Trang thiet bi'!#REF!,'Trang thiet bi'!B:B))</f>
        <v/>
      </c>
      <c r="D150" t="str">
        <f ca="1">IF(C150="","",_xlfn.XLOOKUP($B150,'Trang thiet bi'!#REF!,'Trang thiet bi'!C:C))</f>
        <v/>
      </c>
      <c r="E150">
        <v>31</v>
      </c>
      <c r="F150">
        <v>12</v>
      </c>
      <c r="G150">
        <v>2024</v>
      </c>
      <c r="H150" t="s">
        <v>307</v>
      </c>
    </row>
    <row r="151" spans="2:8" x14ac:dyDescent="0.2">
      <c r="B151" t="str">
        <f ca="1">IFERROR(MATCH($A$1,OFFSET('Trang thiet bi'!#REF!,'Nhãn KK'!$B150,0,1000),0)+'Nhãn KK'!$B150,"")</f>
        <v/>
      </c>
      <c r="C151" t="str">
        <f ca="1">IF(B151="","",_xlfn.XLOOKUP($B151,'Trang thiet bi'!#REF!,'Trang thiet bi'!B:B))</f>
        <v/>
      </c>
      <c r="D151" t="str">
        <f ca="1">IF(C151="","",_xlfn.XLOOKUP($B151,'Trang thiet bi'!#REF!,'Trang thiet bi'!C:C))</f>
        <v/>
      </c>
      <c r="E151">
        <v>31</v>
      </c>
      <c r="F151">
        <v>12</v>
      </c>
      <c r="G151">
        <v>2024</v>
      </c>
      <c r="H151" t="s">
        <v>307</v>
      </c>
    </row>
    <row r="152" spans="2:8" x14ac:dyDescent="0.2">
      <c r="B152" t="str">
        <f ca="1">IFERROR(MATCH($A$1,OFFSET('Trang thiet bi'!#REF!,'Nhãn KK'!$B151,0,1000),0)+'Nhãn KK'!$B151,"")</f>
        <v/>
      </c>
      <c r="C152" t="str">
        <f ca="1">IF(B152="","",_xlfn.XLOOKUP($B152,'Trang thiet bi'!#REF!,'Trang thiet bi'!B:B))</f>
        <v/>
      </c>
      <c r="D152" t="str">
        <f ca="1">IF(C152="","",_xlfn.XLOOKUP($B152,'Trang thiet bi'!#REF!,'Trang thiet bi'!C:C))</f>
        <v/>
      </c>
      <c r="E152">
        <v>31</v>
      </c>
      <c r="F152">
        <v>12</v>
      </c>
      <c r="G152">
        <v>2024</v>
      </c>
      <c r="H152" t="s">
        <v>307</v>
      </c>
    </row>
    <row r="153" spans="2:8" x14ac:dyDescent="0.2">
      <c r="B153" t="str">
        <f ca="1">IFERROR(MATCH($A$1,OFFSET('Trang thiet bi'!#REF!,'Nhãn KK'!$B152,0,1000),0)+'Nhãn KK'!$B152,"")</f>
        <v/>
      </c>
      <c r="C153" t="str">
        <f ca="1">IF(B153="","",_xlfn.XLOOKUP($B153,'Trang thiet bi'!#REF!,'Trang thiet bi'!B:B))</f>
        <v/>
      </c>
      <c r="D153" t="str">
        <f ca="1">IF(C153="","",_xlfn.XLOOKUP($B153,'Trang thiet bi'!#REF!,'Trang thiet bi'!C:C))</f>
        <v/>
      </c>
      <c r="E153">
        <v>31</v>
      </c>
      <c r="F153">
        <v>12</v>
      </c>
      <c r="G153">
        <v>2024</v>
      </c>
      <c r="H153" t="s">
        <v>307</v>
      </c>
    </row>
    <row r="154" spans="2:8" x14ac:dyDescent="0.2">
      <c r="B154" t="str">
        <f ca="1">IFERROR(MATCH($A$1,OFFSET('Trang thiet bi'!#REF!,'Nhãn KK'!$B153,0,1000),0)+'Nhãn KK'!$B153,"")</f>
        <v/>
      </c>
      <c r="C154" t="str">
        <f ca="1">IF(B154="","",_xlfn.XLOOKUP($B154,'Trang thiet bi'!#REF!,'Trang thiet bi'!B:B))</f>
        <v/>
      </c>
      <c r="D154" t="str">
        <f ca="1">IF(C154="","",_xlfn.XLOOKUP($B154,'Trang thiet bi'!#REF!,'Trang thiet bi'!C:C))</f>
        <v/>
      </c>
      <c r="E154">
        <v>31</v>
      </c>
      <c r="F154">
        <v>12</v>
      </c>
      <c r="G154">
        <v>2024</v>
      </c>
      <c r="H154" t="s">
        <v>307</v>
      </c>
    </row>
    <row r="155" spans="2:8" x14ac:dyDescent="0.2">
      <c r="B155" t="str">
        <f ca="1">IFERROR(MATCH($A$1,OFFSET('Trang thiet bi'!#REF!,'Nhãn KK'!$B154,0,1000),0)+'Nhãn KK'!$B154,"")</f>
        <v/>
      </c>
      <c r="C155" t="str">
        <f ca="1">IF(B155="","",_xlfn.XLOOKUP($B155,'Trang thiet bi'!#REF!,'Trang thiet bi'!B:B))</f>
        <v/>
      </c>
      <c r="D155" t="str">
        <f ca="1">IF(C155="","",_xlfn.XLOOKUP($B155,'Trang thiet bi'!#REF!,'Trang thiet bi'!C:C))</f>
        <v/>
      </c>
      <c r="E155">
        <v>31</v>
      </c>
      <c r="F155">
        <v>12</v>
      </c>
      <c r="G155">
        <v>2024</v>
      </c>
      <c r="H155" t="s">
        <v>307</v>
      </c>
    </row>
    <row r="156" spans="2:8" x14ac:dyDescent="0.2">
      <c r="B156" t="str">
        <f ca="1">IFERROR(MATCH($A$1,OFFSET('Trang thiet bi'!#REF!,'Nhãn KK'!$B155,0,1000),0)+'Nhãn KK'!$B155,"")</f>
        <v/>
      </c>
      <c r="C156" t="str">
        <f ca="1">IF(B156="","",_xlfn.XLOOKUP($B156,'Trang thiet bi'!#REF!,'Trang thiet bi'!B:B))</f>
        <v/>
      </c>
      <c r="D156" t="str">
        <f ca="1">IF(C156="","",_xlfn.XLOOKUP($B156,'Trang thiet bi'!#REF!,'Trang thiet bi'!C:C))</f>
        <v/>
      </c>
      <c r="E156">
        <v>31</v>
      </c>
      <c r="F156">
        <v>12</v>
      </c>
      <c r="G156">
        <v>2024</v>
      </c>
      <c r="H156" t="s">
        <v>307</v>
      </c>
    </row>
    <row r="157" spans="2:8" x14ac:dyDescent="0.2">
      <c r="B157" t="str">
        <f ca="1">IFERROR(MATCH($A$1,OFFSET('Trang thiet bi'!#REF!,'Nhãn KK'!$B156,0,1000),0)+'Nhãn KK'!$B156,"")</f>
        <v/>
      </c>
      <c r="C157" t="str">
        <f ca="1">IF(B157="","",_xlfn.XLOOKUP($B157,'Trang thiet bi'!#REF!,'Trang thiet bi'!B:B))</f>
        <v/>
      </c>
      <c r="D157" t="str">
        <f ca="1">IF(C157="","",_xlfn.XLOOKUP($B157,'Trang thiet bi'!#REF!,'Trang thiet bi'!C:C))</f>
        <v/>
      </c>
      <c r="E157">
        <v>31</v>
      </c>
      <c r="F157">
        <v>12</v>
      </c>
      <c r="G157">
        <v>2024</v>
      </c>
      <c r="H157" t="s">
        <v>307</v>
      </c>
    </row>
    <row r="158" spans="2:8" x14ac:dyDescent="0.2">
      <c r="B158" t="str">
        <f ca="1">IFERROR(MATCH($A$1,OFFSET('Trang thiet bi'!#REF!,'Nhãn KK'!$B157,0,1000),0)+'Nhãn KK'!$B157,"")</f>
        <v/>
      </c>
      <c r="C158" t="str">
        <f ca="1">IF(B158="","",_xlfn.XLOOKUP($B158,'Trang thiet bi'!#REF!,'Trang thiet bi'!B:B))</f>
        <v/>
      </c>
      <c r="D158" t="str">
        <f ca="1">IF(C158="","",_xlfn.XLOOKUP($B158,'Trang thiet bi'!#REF!,'Trang thiet bi'!C:C))</f>
        <v/>
      </c>
      <c r="E158">
        <v>31</v>
      </c>
      <c r="F158">
        <v>12</v>
      </c>
      <c r="G158">
        <v>2024</v>
      </c>
      <c r="H158" t="s">
        <v>307</v>
      </c>
    </row>
    <row r="159" spans="2:8" x14ac:dyDescent="0.2">
      <c r="B159" t="str">
        <f ca="1">IFERROR(MATCH($A$1,OFFSET('Trang thiet bi'!#REF!,'Nhãn KK'!$B158,0,1000),0)+'Nhãn KK'!$B158,"")</f>
        <v/>
      </c>
      <c r="C159" t="str">
        <f ca="1">IF(B159="","",_xlfn.XLOOKUP($B159,'Trang thiet bi'!#REF!,'Trang thiet bi'!B:B))</f>
        <v/>
      </c>
      <c r="D159" t="str">
        <f ca="1">IF(C159="","",_xlfn.XLOOKUP($B159,'Trang thiet bi'!#REF!,'Trang thiet bi'!C:C))</f>
        <v/>
      </c>
      <c r="E159">
        <v>31</v>
      </c>
      <c r="F159">
        <v>12</v>
      </c>
      <c r="G159">
        <v>2024</v>
      </c>
      <c r="H159" t="s">
        <v>307</v>
      </c>
    </row>
    <row r="160" spans="2:8" x14ac:dyDescent="0.2">
      <c r="B160" t="str">
        <f ca="1">IFERROR(MATCH($A$1,OFFSET('Trang thiet bi'!#REF!,'Nhãn KK'!$B159,0,1000),0)+'Nhãn KK'!$B159,"")</f>
        <v/>
      </c>
      <c r="C160" t="str">
        <f ca="1">IF(B160="","",_xlfn.XLOOKUP($B160,'Trang thiet bi'!#REF!,'Trang thiet bi'!B:B))</f>
        <v/>
      </c>
      <c r="D160" t="str">
        <f ca="1">IF(C160="","",_xlfn.XLOOKUP($B160,'Trang thiet bi'!#REF!,'Trang thiet bi'!C:C))</f>
        <v/>
      </c>
      <c r="E160">
        <v>31</v>
      </c>
      <c r="F160">
        <v>12</v>
      </c>
      <c r="G160">
        <v>2024</v>
      </c>
      <c r="H160" t="s">
        <v>307</v>
      </c>
    </row>
    <row r="161" spans="2:8" x14ac:dyDescent="0.2">
      <c r="B161" t="str">
        <f ca="1">IFERROR(MATCH($A$1,OFFSET('Trang thiet bi'!#REF!,'Nhãn KK'!$B160,0,1000),0)+'Nhãn KK'!$B160,"")</f>
        <v/>
      </c>
      <c r="C161" t="str">
        <f ca="1">IF(B161="","",_xlfn.XLOOKUP($B161,'Trang thiet bi'!#REF!,'Trang thiet bi'!B:B))</f>
        <v/>
      </c>
      <c r="D161" t="str">
        <f ca="1">IF(C161="","",_xlfn.XLOOKUP($B161,'Trang thiet bi'!#REF!,'Trang thiet bi'!C:C))</f>
        <v/>
      </c>
      <c r="E161">
        <v>31</v>
      </c>
      <c r="F161">
        <v>12</v>
      </c>
      <c r="G161">
        <v>2024</v>
      </c>
      <c r="H161" t="s">
        <v>307</v>
      </c>
    </row>
    <row r="162" spans="2:8" x14ac:dyDescent="0.2">
      <c r="B162" t="str">
        <f ca="1">IFERROR(MATCH($A$1,OFFSET('Trang thiet bi'!#REF!,'Nhãn KK'!$B161,0,1000),0)+'Nhãn KK'!$B161,"")</f>
        <v/>
      </c>
      <c r="C162" t="str">
        <f ca="1">IF(B162="","",_xlfn.XLOOKUP($B162,'Trang thiet bi'!#REF!,'Trang thiet bi'!B:B))</f>
        <v/>
      </c>
      <c r="D162" t="str">
        <f ca="1">IF(C162="","",_xlfn.XLOOKUP($B162,'Trang thiet bi'!#REF!,'Trang thiet bi'!C:C))</f>
        <v/>
      </c>
      <c r="E162">
        <v>31</v>
      </c>
      <c r="F162">
        <v>12</v>
      </c>
      <c r="G162">
        <v>2024</v>
      </c>
      <c r="H162" t="s">
        <v>307</v>
      </c>
    </row>
    <row r="163" spans="2:8" x14ac:dyDescent="0.2">
      <c r="B163" t="str">
        <f ca="1">IFERROR(MATCH($A$1,OFFSET('Trang thiet bi'!#REF!,'Nhãn KK'!$B162,0,1000),0)+'Nhãn KK'!$B162,"")</f>
        <v/>
      </c>
      <c r="C163" t="str">
        <f ca="1">IF(B163="","",_xlfn.XLOOKUP($B163,'Trang thiet bi'!#REF!,'Trang thiet bi'!B:B))</f>
        <v/>
      </c>
      <c r="D163" t="str">
        <f ca="1">IF(C163="","",_xlfn.XLOOKUP($B163,'Trang thiet bi'!#REF!,'Trang thiet bi'!C:C))</f>
        <v/>
      </c>
      <c r="E163">
        <v>31</v>
      </c>
      <c r="F163">
        <v>12</v>
      </c>
      <c r="G163">
        <v>2024</v>
      </c>
      <c r="H163" t="s">
        <v>307</v>
      </c>
    </row>
    <row r="164" spans="2:8" x14ac:dyDescent="0.2">
      <c r="B164" t="str">
        <f ca="1">IFERROR(MATCH($A$1,OFFSET('Trang thiet bi'!#REF!,'Nhãn KK'!$B163,0,1000),0)+'Nhãn KK'!$B163,"")</f>
        <v/>
      </c>
      <c r="C164" t="str">
        <f ca="1">IF(B164="","",_xlfn.XLOOKUP($B164,'Trang thiet bi'!#REF!,'Trang thiet bi'!B:B))</f>
        <v/>
      </c>
      <c r="D164" t="str">
        <f ca="1">IF(C164="","",_xlfn.XLOOKUP($B164,'Trang thiet bi'!#REF!,'Trang thiet bi'!C:C))</f>
        <v/>
      </c>
      <c r="E164">
        <v>31</v>
      </c>
      <c r="F164">
        <v>12</v>
      </c>
      <c r="G164">
        <v>2024</v>
      </c>
      <c r="H164" t="s">
        <v>307</v>
      </c>
    </row>
    <row r="165" spans="2:8" x14ac:dyDescent="0.2">
      <c r="B165" t="str">
        <f ca="1">IFERROR(MATCH($A$1,OFFSET('Trang thiet bi'!#REF!,'Nhãn KK'!$B164,0,1000),0)+'Nhãn KK'!$B164,"")</f>
        <v/>
      </c>
      <c r="C165" t="str">
        <f ca="1">IF(B165="","",_xlfn.XLOOKUP($B165,'Trang thiet bi'!#REF!,'Trang thiet bi'!B:B))</f>
        <v/>
      </c>
      <c r="D165" t="str">
        <f ca="1">IF(C165="","",_xlfn.XLOOKUP($B165,'Trang thiet bi'!#REF!,'Trang thiet bi'!C:C))</f>
        <v/>
      </c>
      <c r="E165">
        <v>31</v>
      </c>
      <c r="F165">
        <v>12</v>
      </c>
      <c r="G165">
        <v>2024</v>
      </c>
      <c r="H165" t="s">
        <v>307</v>
      </c>
    </row>
    <row r="166" spans="2:8" x14ac:dyDescent="0.2">
      <c r="B166" t="str">
        <f ca="1">IFERROR(MATCH($A$1,OFFSET('Trang thiet bi'!#REF!,'Nhãn KK'!$B165,0,1000),0)+'Nhãn KK'!$B165,"")</f>
        <v/>
      </c>
      <c r="C166" t="str">
        <f ca="1">IF(B166="","",_xlfn.XLOOKUP($B166,'Trang thiet bi'!#REF!,'Trang thiet bi'!B:B))</f>
        <v/>
      </c>
      <c r="D166" t="str">
        <f ca="1">IF(C166="","",_xlfn.XLOOKUP($B166,'Trang thiet bi'!#REF!,'Trang thiet bi'!C:C))</f>
        <v/>
      </c>
      <c r="E166">
        <v>31</v>
      </c>
      <c r="F166">
        <v>12</v>
      </c>
      <c r="G166">
        <v>2024</v>
      </c>
      <c r="H166" t="s">
        <v>307</v>
      </c>
    </row>
    <row r="167" spans="2:8" x14ac:dyDescent="0.2">
      <c r="B167" t="str">
        <f ca="1">IFERROR(MATCH($A$1,OFFSET('Trang thiet bi'!#REF!,'Nhãn KK'!$B166,0,1000),0)+'Nhãn KK'!$B166,"")</f>
        <v/>
      </c>
      <c r="C167" t="str">
        <f ca="1">IF(B167="","",_xlfn.XLOOKUP($B167,'Trang thiet bi'!#REF!,'Trang thiet bi'!B:B))</f>
        <v/>
      </c>
      <c r="D167" t="str">
        <f ca="1">IF(C167="","",_xlfn.XLOOKUP($B167,'Trang thiet bi'!#REF!,'Trang thiet bi'!C:C))</f>
        <v/>
      </c>
      <c r="E167">
        <v>31</v>
      </c>
      <c r="F167">
        <v>12</v>
      </c>
      <c r="G167">
        <v>2024</v>
      </c>
      <c r="H167" t="s">
        <v>307</v>
      </c>
    </row>
    <row r="168" spans="2:8" x14ac:dyDescent="0.2">
      <c r="B168" t="str">
        <f ca="1">IFERROR(MATCH($A$1,OFFSET('Trang thiet bi'!#REF!,'Nhãn KK'!$B167,0,1000),0)+'Nhãn KK'!$B167,"")</f>
        <v/>
      </c>
      <c r="C168" t="str">
        <f ca="1">IF(B168="","",_xlfn.XLOOKUP($B168,'Trang thiet bi'!#REF!,'Trang thiet bi'!B:B))</f>
        <v/>
      </c>
      <c r="D168" t="str">
        <f ca="1">IF(C168="","",_xlfn.XLOOKUP($B168,'Trang thiet bi'!#REF!,'Trang thiet bi'!C:C))</f>
        <v/>
      </c>
      <c r="E168">
        <v>31</v>
      </c>
      <c r="F168">
        <v>12</v>
      </c>
      <c r="G168">
        <v>2024</v>
      </c>
      <c r="H168" t="s">
        <v>307</v>
      </c>
    </row>
    <row r="169" spans="2:8" x14ac:dyDescent="0.2">
      <c r="B169" t="str">
        <f ca="1">IFERROR(MATCH($A$1,OFFSET('Trang thiet bi'!#REF!,'Nhãn KK'!$B168,0,1000),0)+'Nhãn KK'!$B168,"")</f>
        <v/>
      </c>
      <c r="C169" t="str">
        <f ca="1">IF(B169="","",_xlfn.XLOOKUP($B169,'Trang thiet bi'!#REF!,'Trang thiet bi'!B:B))</f>
        <v/>
      </c>
      <c r="D169" t="str">
        <f ca="1">IF(C169="","",_xlfn.XLOOKUP($B169,'Trang thiet bi'!#REF!,'Trang thiet bi'!C:C))</f>
        <v/>
      </c>
      <c r="E169">
        <v>31</v>
      </c>
      <c r="F169">
        <v>12</v>
      </c>
      <c r="G169">
        <v>2024</v>
      </c>
      <c r="H169" t="s">
        <v>307</v>
      </c>
    </row>
    <row r="170" spans="2:8" x14ac:dyDescent="0.2">
      <c r="B170" t="str">
        <f ca="1">IFERROR(MATCH($A$1,OFFSET('Trang thiet bi'!#REF!,'Nhãn KK'!$B169,0,1000),0)+'Nhãn KK'!$B169,"")</f>
        <v/>
      </c>
      <c r="C170" t="str">
        <f ca="1">IF(B170="","",_xlfn.XLOOKUP($B170,'Trang thiet bi'!#REF!,'Trang thiet bi'!B:B))</f>
        <v/>
      </c>
      <c r="D170" t="str">
        <f ca="1">IF(C170="","",_xlfn.XLOOKUP($B170,'Trang thiet bi'!#REF!,'Trang thiet bi'!C:C))</f>
        <v/>
      </c>
      <c r="E170">
        <v>31</v>
      </c>
      <c r="F170">
        <v>12</v>
      </c>
      <c r="G170">
        <v>2024</v>
      </c>
      <c r="H170" t="s">
        <v>307</v>
      </c>
    </row>
    <row r="171" spans="2:8" x14ac:dyDescent="0.2">
      <c r="B171" t="str">
        <f ca="1">IFERROR(MATCH($A$1,OFFSET('Trang thiet bi'!#REF!,'Nhãn KK'!$B170,0,1000),0)+'Nhãn KK'!$B170,"")</f>
        <v/>
      </c>
      <c r="C171" t="str">
        <f ca="1">IF(B171="","",_xlfn.XLOOKUP($B171,'Trang thiet bi'!#REF!,'Trang thiet bi'!B:B))</f>
        <v/>
      </c>
      <c r="D171" t="str">
        <f ca="1">IF(C171="","",_xlfn.XLOOKUP($B171,'Trang thiet bi'!#REF!,'Trang thiet bi'!C:C))</f>
        <v/>
      </c>
      <c r="E171">
        <v>31</v>
      </c>
      <c r="F171">
        <v>12</v>
      </c>
      <c r="G171">
        <v>2024</v>
      </c>
      <c r="H171" t="s">
        <v>307</v>
      </c>
    </row>
    <row r="172" spans="2:8" x14ac:dyDescent="0.2">
      <c r="B172" t="str">
        <f ca="1">IFERROR(MATCH($A$1,OFFSET('Trang thiet bi'!#REF!,'Nhãn KK'!$B171,0,1000),0)+'Nhãn KK'!$B171,"")</f>
        <v/>
      </c>
      <c r="C172" t="str">
        <f ca="1">IF(B172="","",_xlfn.XLOOKUP($B172,'Trang thiet bi'!#REF!,'Trang thiet bi'!B:B))</f>
        <v/>
      </c>
      <c r="D172" t="str">
        <f ca="1">IF(C172="","",_xlfn.XLOOKUP($B172,'Trang thiet bi'!#REF!,'Trang thiet bi'!C:C))</f>
        <v/>
      </c>
      <c r="E172">
        <v>31</v>
      </c>
      <c r="F172">
        <v>12</v>
      </c>
      <c r="G172">
        <v>2024</v>
      </c>
      <c r="H172" t="s">
        <v>307</v>
      </c>
    </row>
    <row r="173" spans="2:8" x14ac:dyDescent="0.2">
      <c r="B173" t="str">
        <f ca="1">IFERROR(MATCH($A$1,OFFSET('Trang thiet bi'!#REF!,'Nhãn KK'!$B172,0,1000),0)+'Nhãn KK'!$B172,"")</f>
        <v/>
      </c>
      <c r="C173" t="str">
        <f ca="1">IF(B173="","",_xlfn.XLOOKUP($B173,'Trang thiet bi'!#REF!,'Trang thiet bi'!B:B))</f>
        <v/>
      </c>
      <c r="D173" t="str">
        <f ca="1">IF(C173="","",_xlfn.XLOOKUP($B173,'Trang thiet bi'!#REF!,'Trang thiet bi'!C:C))</f>
        <v/>
      </c>
      <c r="E173">
        <v>31</v>
      </c>
      <c r="F173">
        <v>12</v>
      </c>
      <c r="G173">
        <v>2024</v>
      </c>
      <c r="H173" t="s">
        <v>307</v>
      </c>
    </row>
    <row r="174" spans="2:8" x14ac:dyDescent="0.2">
      <c r="B174" t="str">
        <f ca="1">IFERROR(MATCH($A$1,OFFSET('Trang thiet bi'!#REF!,'Nhãn KK'!$B173,0,1000),0)+'Nhãn KK'!$B173,"")</f>
        <v/>
      </c>
      <c r="C174" t="str">
        <f ca="1">IF(B174="","",_xlfn.XLOOKUP($B174,'Trang thiet bi'!#REF!,'Trang thiet bi'!B:B))</f>
        <v/>
      </c>
      <c r="D174" t="str">
        <f ca="1">IF(C174="","",_xlfn.XLOOKUP($B174,'Trang thiet bi'!#REF!,'Trang thiet bi'!C:C))</f>
        <v/>
      </c>
      <c r="E174">
        <v>31</v>
      </c>
      <c r="F174">
        <v>12</v>
      </c>
      <c r="G174">
        <v>2024</v>
      </c>
      <c r="H174" t="s">
        <v>307</v>
      </c>
    </row>
    <row r="175" spans="2:8" x14ac:dyDescent="0.2">
      <c r="B175" t="str">
        <f ca="1">IFERROR(MATCH($A$1,OFFSET('Trang thiet bi'!#REF!,'Nhãn KK'!$B174,0,1000),0)+'Nhãn KK'!$B174,"")</f>
        <v/>
      </c>
      <c r="C175" t="str">
        <f ca="1">IF(B175="","",_xlfn.XLOOKUP($B175,'Trang thiet bi'!#REF!,'Trang thiet bi'!B:B))</f>
        <v/>
      </c>
      <c r="D175" t="str">
        <f ca="1">IF(C175="","",_xlfn.XLOOKUP($B175,'Trang thiet bi'!#REF!,'Trang thiet bi'!C:C))</f>
        <v/>
      </c>
      <c r="E175">
        <v>31</v>
      </c>
      <c r="F175">
        <v>12</v>
      </c>
      <c r="G175">
        <v>2024</v>
      </c>
      <c r="H175" t="s">
        <v>307</v>
      </c>
    </row>
    <row r="176" spans="2:8" x14ac:dyDescent="0.2">
      <c r="B176" t="str">
        <f ca="1">IFERROR(MATCH($A$1,OFFSET('Trang thiet bi'!#REF!,'Nhãn KK'!$B175,0,1000),0)+'Nhãn KK'!$B175,"")</f>
        <v/>
      </c>
      <c r="C176" t="str">
        <f ca="1">IF(B176="","",_xlfn.XLOOKUP($B176,'Trang thiet bi'!#REF!,'Trang thiet bi'!B:B))</f>
        <v/>
      </c>
      <c r="D176" t="str">
        <f ca="1">IF(C176="","",_xlfn.XLOOKUP($B176,'Trang thiet bi'!#REF!,'Trang thiet bi'!C:C))</f>
        <v/>
      </c>
      <c r="E176">
        <v>31</v>
      </c>
      <c r="F176">
        <v>12</v>
      </c>
      <c r="G176">
        <v>2024</v>
      </c>
      <c r="H176" t="s">
        <v>307</v>
      </c>
    </row>
    <row r="177" spans="2:8" x14ac:dyDescent="0.2">
      <c r="B177" t="str">
        <f ca="1">IFERROR(MATCH($A$1,OFFSET('Trang thiet bi'!#REF!,'Nhãn KK'!$B176,0,1000),0)+'Nhãn KK'!$B176,"")</f>
        <v/>
      </c>
      <c r="C177" t="str">
        <f ca="1">IF(B177="","",_xlfn.XLOOKUP($B177,'Trang thiet bi'!#REF!,'Trang thiet bi'!B:B))</f>
        <v/>
      </c>
      <c r="D177" t="str">
        <f ca="1">IF(C177="","",_xlfn.XLOOKUP($B177,'Trang thiet bi'!#REF!,'Trang thiet bi'!C:C))</f>
        <v/>
      </c>
      <c r="E177">
        <v>31</v>
      </c>
      <c r="F177">
        <v>12</v>
      </c>
      <c r="G177">
        <v>2024</v>
      </c>
      <c r="H177" t="s">
        <v>307</v>
      </c>
    </row>
    <row r="178" spans="2:8" x14ac:dyDescent="0.2">
      <c r="B178" t="str">
        <f ca="1">IFERROR(MATCH($A$1,OFFSET('Trang thiet bi'!#REF!,'Nhãn KK'!$B177,0,1000),0)+'Nhãn KK'!$B177,"")</f>
        <v/>
      </c>
      <c r="C178" t="str">
        <f ca="1">IF(B178="","",_xlfn.XLOOKUP($B178,'Trang thiet bi'!#REF!,'Trang thiet bi'!B:B))</f>
        <v/>
      </c>
      <c r="D178" t="str">
        <f ca="1">IF(C178="","",_xlfn.XLOOKUP($B178,'Trang thiet bi'!#REF!,'Trang thiet bi'!C:C))</f>
        <v/>
      </c>
      <c r="E178">
        <v>31</v>
      </c>
      <c r="F178">
        <v>12</v>
      </c>
      <c r="G178">
        <v>2024</v>
      </c>
      <c r="H178" t="s">
        <v>307</v>
      </c>
    </row>
    <row r="179" spans="2:8" x14ac:dyDescent="0.2">
      <c r="B179" t="str">
        <f ca="1">IFERROR(MATCH($A$1,OFFSET('Trang thiet bi'!#REF!,'Nhãn KK'!$B178,0,1000),0)+'Nhãn KK'!$B178,"")</f>
        <v/>
      </c>
      <c r="C179" t="str">
        <f ca="1">IF(B179="","",_xlfn.XLOOKUP($B179,'Trang thiet bi'!#REF!,'Trang thiet bi'!B:B))</f>
        <v/>
      </c>
      <c r="D179" t="str">
        <f ca="1">IF(C179="","",_xlfn.XLOOKUP($B179,'Trang thiet bi'!#REF!,'Trang thiet bi'!C:C))</f>
        <v/>
      </c>
      <c r="E179">
        <v>31</v>
      </c>
      <c r="F179">
        <v>12</v>
      </c>
      <c r="G179">
        <v>2024</v>
      </c>
      <c r="H179" t="s">
        <v>307</v>
      </c>
    </row>
    <row r="180" spans="2:8" x14ac:dyDescent="0.2">
      <c r="B180" t="str">
        <f ca="1">IFERROR(MATCH($A$1,OFFSET('Trang thiet bi'!#REF!,'Nhãn KK'!$B179,0,1000),0)+'Nhãn KK'!$B179,"")</f>
        <v/>
      </c>
      <c r="C180" t="str">
        <f ca="1">IF(B180="","",_xlfn.XLOOKUP($B180,'Trang thiet bi'!#REF!,'Trang thiet bi'!B:B))</f>
        <v/>
      </c>
      <c r="D180" t="str">
        <f ca="1">IF(C180="","",_xlfn.XLOOKUP($B180,'Trang thiet bi'!#REF!,'Trang thiet bi'!C:C))</f>
        <v/>
      </c>
      <c r="E180">
        <v>31</v>
      </c>
      <c r="F180">
        <v>12</v>
      </c>
      <c r="G180">
        <v>2024</v>
      </c>
      <c r="H180" t="s">
        <v>307</v>
      </c>
    </row>
    <row r="181" spans="2:8" x14ac:dyDescent="0.2">
      <c r="B181" t="str">
        <f ca="1">IFERROR(MATCH($A$1,OFFSET('Trang thiet bi'!#REF!,'Nhãn KK'!$B180,0,1000),0)+'Nhãn KK'!$B180,"")</f>
        <v/>
      </c>
      <c r="C181" t="str">
        <f ca="1">IF(B181="","",_xlfn.XLOOKUP($B181,'Trang thiet bi'!#REF!,'Trang thiet bi'!B:B))</f>
        <v/>
      </c>
      <c r="D181" t="str">
        <f ca="1">IF(C181="","",_xlfn.XLOOKUP($B181,'Trang thiet bi'!#REF!,'Trang thiet bi'!C:C))</f>
        <v/>
      </c>
      <c r="E181">
        <v>31</v>
      </c>
      <c r="F181">
        <v>12</v>
      </c>
      <c r="G181">
        <v>2024</v>
      </c>
      <c r="H181" t="s">
        <v>307</v>
      </c>
    </row>
    <row r="182" spans="2:8" x14ac:dyDescent="0.2">
      <c r="B182" t="str">
        <f ca="1">IFERROR(MATCH($A$1,OFFSET('Trang thiet bi'!#REF!,'Nhãn KK'!$B181,0,1000),0)+'Nhãn KK'!$B181,"")</f>
        <v/>
      </c>
      <c r="C182" t="str">
        <f ca="1">IF(B182="","",_xlfn.XLOOKUP($B182,'Trang thiet bi'!#REF!,'Trang thiet bi'!B:B))</f>
        <v/>
      </c>
      <c r="D182" t="str">
        <f ca="1">IF(C182="","",_xlfn.XLOOKUP($B182,'Trang thiet bi'!#REF!,'Trang thiet bi'!C:C))</f>
        <v/>
      </c>
      <c r="E182">
        <v>31</v>
      </c>
      <c r="F182">
        <v>12</v>
      </c>
      <c r="G182">
        <v>2024</v>
      </c>
      <c r="H182" t="s">
        <v>307</v>
      </c>
    </row>
    <row r="183" spans="2:8" x14ac:dyDescent="0.2">
      <c r="B183" t="str">
        <f ca="1">IFERROR(MATCH($A$1,OFFSET('Trang thiet bi'!#REF!,'Nhãn KK'!$B182,0,1000),0)+'Nhãn KK'!$B182,"")</f>
        <v/>
      </c>
      <c r="C183" t="str">
        <f ca="1">IF(B183="","",_xlfn.XLOOKUP($B183,'Trang thiet bi'!#REF!,'Trang thiet bi'!B:B))</f>
        <v/>
      </c>
      <c r="D183" t="str">
        <f ca="1">IF(C183="","",_xlfn.XLOOKUP($B183,'Trang thiet bi'!#REF!,'Trang thiet bi'!C:C))</f>
        <v/>
      </c>
      <c r="E183">
        <v>31</v>
      </c>
      <c r="F183">
        <v>12</v>
      </c>
      <c r="G183">
        <v>2024</v>
      </c>
      <c r="H183" t="s">
        <v>307</v>
      </c>
    </row>
    <row r="184" spans="2:8" x14ac:dyDescent="0.2">
      <c r="B184" t="str">
        <f ca="1">IFERROR(MATCH($A$1,OFFSET('Trang thiet bi'!#REF!,'Nhãn KK'!$B183,0,1000),0)+'Nhãn KK'!$B183,"")</f>
        <v/>
      </c>
      <c r="C184" t="str">
        <f ca="1">IF(B184="","",_xlfn.XLOOKUP($B184,'Trang thiet bi'!#REF!,'Trang thiet bi'!B:B))</f>
        <v/>
      </c>
      <c r="D184" t="str">
        <f ca="1">IF(C184="","",_xlfn.XLOOKUP($B184,'Trang thiet bi'!#REF!,'Trang thiet bi'!C:C))</f>
        <v/>
      </c>
      <c r="E184">
        <v>31</v>
      </c>
      <c r="F184">
        <v>12</v>
      </c>
      <c r="G184">
        <v>2024</v>
      </c>
      <c r="H184" t="s">
        <v>307</v>
      </c>
    </row>
    <row r="185" spans="2:8" x14ac:dyDescent="0.2">
      <c r="B185" t="str">
        <f ca="1">IFERROR(MATCH($A$1,OFFSET('Trang thiet bi'!#REF!,'Nhãn KK'!$B184,0,1000),0)+'Nhãn KK'!$B184,"")</f>
        <v/>
      </c>
      <c r="C185" t="str">
        <f ca="1">IF(B185="","",_xlfn.XLOOKUP($B185,'Trang thiet bi'!#REF!,'Trang thiet bi'!B:B))</f>
        <v/>
      </c>
      <c r="D185" t="str">
        <f ca="1">IF(C185="","",_xlfn.XLOOKUP($B185,'Trang thiet bi'!#REF!,'Trang thiet bi'!C:C))</f>
        <v/>
      </c>
      <c r="E185">
        <v>31</v>
      </c>
      <c r="F185">
        <v>12</v>
      </c>
      <c r="G185">
        <v>2024</v>
      </c>
      <c r="H185" t="s">
        <v>307</v>
      </c>
    </row>
    <row r="186" spans="2:8" x14ac:dyDescent="0.2">
      <c r="B186" t="str">
        <f ca="1">IFERROR(MATCH($A$1,OFFSET('Trang thiet bi'!#REF!,'Nhãn KK'!$B185,0,1000),0)+'Nhãn KK'!$B185,"")</f>
        <v/>
      </c>
      <c r="C186" t="str">
        <f ca="1">IF(B186="","",_xlfn.XLOOKUP($B186,'Trang thiet bi'!#REF!,'Trang thiet bi'!B:B))</f>
        <v/>
      </c>
      <c r="D186" t="str">
        <f ca="1">IF(C186="","",_xlfn.XLOOKUP($B186,'Trang thiet bi'!#REF!,'Trang thiet bi'!C:C))</f>
        <v/>
      </c>
      <c r="E186">
        <v>31</v>
      </c>
      <c r="F186">
        <v>12</v>
      </c>
      <c r="G186">
        <v>2024</v>
      </c>
      <c r="H186" t="s">
        <v>307</v>
      </c>
    </row>
    <row r="187" spans="2:8" x14ac:dyDescent="0.2">
      <c r="B187" t="str">
        <f ca="1">IFERROR(MATCH($A$1,OFFSET('Trang thiet bi'!#REF!,'Nhãn KK'!$B186,0,1000),0)+'Nhãn KK'!$B186,"")</f>
        <v/>
      </c>
      <c r="C187" t="str">
        <f ca="1">IF(B187="","",_xlfn.XLOOKUP($B187,'Trang thiet bi'!#REF!,'Trang thiet bi'!B:B))</f>
        <v/>
      </c>
      <c r="D187" t="str">
        <f ca="1">IF(C187="","",_xlfn.XLOOKUP($B187,'Trang thiet bi'!#REF!,'Trang thiet bi'!C:C))</f>
        <v/>
      </c>
      <c r="E187">
        <v>31</v>
      </c>
      <c r="F187">
        <v>12</v>
      </c>
      <c r="G187">
        <v>2024</v>
      </c>
      <c r="H187" t="s">
        <v>307</v>
      </c>
    </row>
    <row r="188" spans="2:8" x14ac:dyDescent="0.2">
      <c r="B188" t="str">
        <f ca="1">IFERROR(MATCH($A$1,OFFSET('Trang thiet bi'!#REF!,'Nhãn KK'!$B187,0,1000),0)+'Nhãn KK'!$B187,"")</f>
        <v/>
      </c>
      <c r="C188" t="str">
        <f ca="1">IF(B188="","",_xlfn.XLOOKUP($B188,'Trang thiet bi'!#REF!,'Trang thiet bi'!B:B))</f>
        <v/>
      </c>
      <c r="D188" t="str">
        <f ca="1">IF(C188="","",_xlfn.XLOOKUP($B188,'Trang thiet bi'!#REF!,'Trang thiet bi'!C:C))</f>
        <v/>
      </c>
      <c r="E188">
        <v>31</v>
      </c>
      <c r="F188">
        <v>12</v>
      </c>
      <c r="G188">
        <v>2024</v>
      </c>
      <c r="H188" t="s">
        <v>307</v>
      </c>
    </row>
    <row r="189" spans="2:8" x14ac:dyDescent="0.2">
      <c r="B189" t="str">
        <f ca="1">IFERROR(MATCH($A$1,OFFSET('Trang thiet bi'!#REF!,'Nhãn KK'!$B188,0,1000),0)+'Nhãn KK'!$B188,"")</f>
        <v/>
      </c>
      <c r="C189" t="str">
        <f ca="1">IF(B189="","",_xlfn.XLOOKUP($B189,'Trang thiet bi'!#REF!,'Trang thiet bi'!B:B))</f>
        <v/>
      </c>
      <c r="D189" t="str">
        <f ca="1">IF(C189="","",_xlfn.XLOOKUP($B189,'Trang thiet bi'!#REF!,'Trang thiet bi'!C:C))</f>
        <v/>
      </c>
      <c r="E189">
        <v>31</v>
      </c>
      <c r="F189">
        <v>12</v>
      </c>
      <c r="G189">
        <v>2024</v>
      </c>
      <c r="H189" t="s">
        <v>307</v>
      </c>
    </row>
    <row r="190" spans="2:8" x14ac:dyDescent="0.2">
      <c r="B190" t="str">
        <f ca="1">IFERROR(MATCH($A$1,OFFSET('Trang thiet bi'!#REF!,'Nhãn KK'!$B189,0,1000),0)+'Nhãn KK'!$B189,"")</f>
        <v/>
      </c>
      <c r="C190" t="str">
        <f ca="1">IF(B190="","",_xlfn.XLOOKUP($B190,'Trang thiet bi'!#REF!,'Trang thiet bi'!B:B))</f>
        <v/>
      </c>
      <c r="D190" t="str">
        <f ca="1">IF(C190="","",_xlfn.XLOOKUP($B190,'Trang thiet bi'!#REF!,'Trang thiet bi'!C:C))</f>
        <v/>
      </c>
      <c r="E190">
        <v>31</v>
      </c>
      <c r="F190">
        <v>12</v>
      </c>
      <c r="G190">
        <v>2024</v>
      </c>
      <c r="H190" t="s">
        <v>307</v>
      </c>
    </row>
    <row r="191" spans="2:8" x14ac:dyDescent="0.2">
      <c r="B191" t="str">
        <f ca="1">IFERROR(MATCH($A$1,OFFSET('Trang thiet bi'!#REF!,'Nhãn KK'!$B190,0,1000),0)+'Nhãn KK'!$B190,"")</f>
        <v/>
      </c>
      <c r="C191" t="str">
        <f ca="1">IF(B191="","",_xlfn.XLOOKUP($B191,'Trang thiet bi'!#REF!,'Trang thiet bi'!B:B))</f>
        <v/>
      </c>
      <c r="D191" t="str">
        <f ca="1">IF(C191="","",_xlfn.XLOOKUP($B191,'Trang thiet bi'!#REF!,'Trang thiet bi'!C:C))</f>
        <v/>
      </c>
      <c r="E191">
        <v>31</v>
      </c>
      <c r="F191">
        <v>12</v>
      </c>
      <c r="G191">
        <v>2024</v>
      </c>
      <c r="H191" t="s">
        <v>307</v>
      </c>
    </row>
    <row r="192" spans="2:8" x14ac:dyDescent="0.2">
      <c r="B192" t="str">
        <f ca="1">IFERROR(MATCH($A$1,OFFSET('Trang thiet bi'!#REF!,'Nhãn KK'!$B191,0,1000),0)+'Nhãn KK'!$B191,"")</f>
        <v/>
      </c>
      <c r="C192" t="str">
        <f ca="1">IF(B192="","",_xlfn.XLOOKUP($B192,'Trang thiet bi'!#REF!,'Trang thiet bi'!B:B))</f>
        <v/>
      </c>
      <c r="D192" t="str">
        <f ca="1">IF(C192="","",_xlfn.XLOOKUP($B192,'Trang thiet bi'!#REF!,'Trang thiet bi'!C:C))</f>
        <v/>
      </c>
      <c r="E192">
        <v>31</v>
      </c>
      <c r="F192">
        <v>12</v>
      </c>
      <c r="G192">
        <v>2024</v>
      </c>
      <c r="H192" t="s">
        <v>307</v>
      </c>
    </row>
    <row r="193" spans="2:8" x14ac:dyDescent="0.2">
      <c r="B193" t="str">
        <f ca="1">IFERROR(MATCH($A$1,OFFSET('Trang thiet bi'!#REF!,'Nhãn KK'!$B192,0,1000),0)+'Nhãn KK'!$B192,"")</f>
        <v/>
      </c>
      <c r="C193" t="str">
        <f ca="1">IF(B193="","",_xlfn.XLOOKUP($B193,'Trang thiet bi'!#REF!,'Trang thiet bi'!B:B))</f>
        <v/>
      </c>
      <c r="D193" t="str">
        <f ca="1">IF(C193="","",_xlfn.XLOOKUP($B193,'Trang thiet bi'!#REF!,'Trang thiet bi'!C:C))</f>
        <v/>
      </c>
      <c r="E193">
        <v>31</v>
      </c>
      <c r="F193">
        <v>12</v>
      </c>
      <c r="G193">
        <v>2024</v>
      </c>
      <c r="H193" t="s">
        <v>307</v>
      </c>
    </row>
    <row r="194" spans="2:8" x14ac:dyDescent="0.2">
      <c r="B194" t="str">
        <f ca="1">IFERROR(MATCH($A$1,OFFSET('Trang thiet bi'!#REF!,'Nhãn KK'!$B193,0,1000),0)+'Nhãn KK'!$B193,"")</f>
        <v/>
      </c>
      <c r="C194" t="str">
        <f ca="1">IF(B194="","",_xlfn.XLOOKUP($B194,'Trang thiet bi'!#REF!,'Trang thiet bi'!B:B))</f>
        <v/>
      </c>
      <c r="D194" t="str">
        <f ca="1">IF(C194="","",_xlfn.XLOOKUP($B194,'Trang thiet bi'!#REF!,'Trang thiet bi'!C:C))</f>
        <v/>
      </c>
      <c r="E194">
        <v>31</v>
      </c>
      <c r="F194">
        <v>12</v>
      </c>
      <c r="G194">
        <v>2024</v>
      </c>
      <c r="H194" t="s">
        <v>307</v>
      </c>
    </row>
    <row r="195" spans="2:8" x14ac:dyDescent="0.2">
      <c r="B195" t="str">
        <f ca="1">IFERROR(MATCH($A$1,OFFSET('Trang thiet bi'!#REF!,'Nhãn KK'!$B194,0,1000),0)+'Nhãn KK'!$B194,"")</f>
        <v/>
      </c>
      <c r="C195" t="str">
        <f ca="1">IF(B195="","",_xlfn.XLOOKUP($B195,'Trang thiet bi'!#REF!,'Trang thiet bi'!B:B))</f>
        <v/>
      </c>
      <c r="D195" t="str">
        <f ca="1">IF(C195="","",_xlfn.XLOOKUP($B195,'Trang thiet bi'!#REF!,'Trang thiet bi'!C:C))</f>
        <v/>
      </c>
      <c r="E195">
        <v>31</v>
      </c>
      <c r="F195">
        <v>12</v>
      </c>
      <c r="G195">
        <v>2024</v>
      </c>
      <c r="H195" t="s">
        <v>307</v>
      </c>
    </row>
    <row r="196" spans="2:8" x14ac:dyDescent="0.2">
      <c r="B196" t="str">
        <f ca="1">IFERROR(MATCH($A$1,OFFSET('Trang thiet bi'!#REF!,'Nhãn KK'!$B195,0,1000),0)+'Nhãn KK'!$B195,"")</f>
        <v/>
      </c>
      <c r="C196" t="str">
        <f ca="1">IF(B196="","",_xlfn.XLOOKUP($B196,'Trang thiet bi'!#REF!,'Trang thiet bi'!B:B))</f>
        <v/>
      </c>
      <c r="D196" t="str">
        <f ca="1">IF(C196="","",_xlfn.XLOOKUP($B196,'Trang thiet bi'!#REF!,'Trang thiet bi'!C:C))</f>
        <v/>
      </c>
      <c r="E196">
        <v>31</v>
      </c>
      <c r="F196">
        <v>12</v>
      </c>
      <c r="G196">
        <v>2024</v>
      </c>
      <c r="H196" t="s">
        <v>307</v>
      </c>
    </row>
    <row r="197" spans="2:8" x14ac:dyDescent="0.2">
      <c r="B197" t="str">
        <f ca="1">IFERROR(MATCH($A$1,OFFSET('Trang thiet bi'!#REF!,'Nhãn KK'!$B196,0,1000),0)+'Nhãn KK'!$B196,"")</f>
        <v/>
      </c>
      <c r="C197" t="str">
        <f ca="1">IF(B197="","",_xlfn.XLOOKUP($B197,'Trang thiet bi'!#REF!,'Trang thiet bi'!B:B))</f>
        <v/>
      </c>
      <c r="D197" t="str">
        <f ca="1">IF(C197="","",_xlfn.XLOOKUP($B197,'Trang thiet bi'!#REF!,'Trang thiet bi'!C:C))</f>
        <v/>
      </c>
      <c r="E197">
        <v>31</v>
      </c>
      <c r="F197">
        <v>12</v>
      </c>
      <c r="G197">
        <v>2024</v>
      </c>
      <c r="H197" t="s">
        <v>307</v>
      </c>
    </row>
    <row r="198" spans="2:8" x14ac:dyDescent="0.2">
      <c r="B198" t="str">
        <f ca="1">IFERROR(MATCH($A$1,OFFSET('Trang thiet bi'!#REF!,'Nhãn KK'!$B197,0,1000),0)+'Nhãn KK'!$B197,"")</f>
        <v/>
      </c>
      <c r="C198" t="str">
        <f ca="1">IF(B198="","",_xlfn.XLOOKUP($B198,'Trang thiet bi'!#REF!,'Trang thiet bi'!B:B))</f>
        <v/>
      </c>
      <c r="D198" t="str">
        <f ca="1">IF(C198="","",_xlfn.XLOOKUP($B198,'Trang thiet bi'!#REF!,'Trang thiet bi'!C:C))</f>
        <v/>
      </c>
      <c r="E198">
        <v>31</v>
      </c>
      <c r="F198">
        <v>12</v>
      </c>
      <c r="G198">
        <v>2024</v>
      </c>
      <c r="H198" t="s">
        <v>307</v>
      </c>
    </row>
    <row r="199" spans="2:8" x14ac:dyDescent="0.2">
      <c r="B199" t="str">
        <f ca="1">IFERROR(MATCH($A$1,OFFSET('Trang thiet bi'!#REF!,'Nhãn KK'!$B198,0,1000),0)+'Nhãn KK'!$B198,"")</f>
        <v/>
      </c>
      <c r="C199" t="str">
        <f ca="1">IF(B199="","",_xlfn.XLOOKUP($B199,'Trang thiet bi'!#REF!,'Trang thiet bi'!B:B))</f>
        <v/>
      </c>
      <c r="D199" t="str">
        <f ca="1">IF(C199="","",_xlfn.XLOOKUP($B199,'Trang thiet bi'!#REF!,'Trang thiet bi'!C:C))</f>
        <v/>
      </c>
      <c r="E199">
        <v>31</v>
      </c>
      <c r="F199">
        <v>12</v>
      </c>
      <c r="G199">
        <v>2024</v>
      </c>
      <c r="H199" t="s">
        <v>307</v>
      </c>
    </row>
    <row r="200" spans="2:8" x14ac:dyDescent="0.2">
      <c r="B200" t="str">
        <f ca="1">IFERROR(MATCH($A$1,OFFSET('Trang thiet bi'!#REF!,'Nhãn KK'!$B199,0,1000),0)+'Nhãn KK'!$B199,"")</f>
        <v/>
      </c>
      <c r="C200" t="str">
        <f ca="1">IF(B200="","",_xlfn.XLOOKUP($B200,'Trang thiet bi'!#REF!,'Trang thiet bi'!B:B))</f>
        <v/>
      </c>
      <c r="D200" t="str">
        <f ca="1">IF(C200="","",_xlfn.XLOOKUP($B200,'Trang thiet bi'!#REF!,'Trang thiet bi'!C:C))</f>
        <v/>
      </c>
      <c r="E200">
        <v>31</v>
      </c>
      <c r="F200">
        <v>12</v>
      </c>
      <c r="G200">
        <v>2024</v>
      </c>
      <c r="H200" t="s">
        <v>307</v>
      </c>
    </row>
    <row r="201" spans="2:8" x14ac:dyDescent="0.2">
      <c r="B201" t="str">
        <f ca="1">IFERROR(MATCH($A$1,OFFSET('Trang thiet bi'!#REF!,'Nhãn KK'!$B200,0,1000),0)+'Nhãn KK'!$B200,"")</f>
        <v/>
      </c>
      <c r="C201" t="str">
        <f ca="1">IF(B201="","",_xlfn.XLOOKUP($B201,'Trang thiet bi'!#REF!,'Trang thiet bi'!B:B))</f>
        <v/>
      </c>
      <c r="D201" t="str">
        <f ca="1">IF(C201="","",_xlfn.XLOOKUP($B201,'Trang thiet bi'!#REF!,'Trang thiet bi'!C:C))</f>
        <v/>
      </c>
      <c r="E201">
        <v>31</v>
      </c>
      <c r="F201">
        <v>12</v>
      </c>
      <c r="G201">
        <v>2024</v>
      </c>
      <c r="H201" t="s">
        <v>307</v>
      </c>
    </row>
    <row r="202" spans="2:8" x14ac:dyDescent="0.2">
      <c r="B202" t="str">
        <f ca="1">IFERROR(MATCH($A$1,OFFSET('Trang thiet bi'!#REF!,'Nhãn KK'!$B201,0,1000),0)+'Nhãn KK'!$B201,"")</f>
        <v/>
      </c>
      <c r="C202" t="str">
        <f ca="1">IF(B202="","",_xlfn.XLOOKUP($B202,'Trang thiet bi'!#REF!,'Trang thiet bi'!B:B))</f>
        <v/>
      </c>
      <c r="D202" t="str">
        <f ca="1">IF(C202="","",_xlfn.XLOOKUP($B202,'Trang thiet bi'!#REF!,'Trang thiet bi'!C:C))</f>
        <v/>
      </c>
      <c r="E202">
        <v>31</v>
      </c>
      <c r="F202">
        <v>12</v>
      </c>
      <c r="G202">
        <v>2024</v>
      </c>
      <c r="H202" t="s">
        <v>307</v>
      </c>
    </row>
    <row r="203" spans="2:8" x14ac:dyDescent="0.2">
      <c r="B203" t="str">
        <f ca="1">IFERROR(MATCH($A$1,OFFSET('Trang thiet bi'!#REF!,'Nhãn KK'!$B202,0,1000),0)+'Nhãn KK'!$B202,"")</f>
        <v/>
      </c>
      <c r="C203" t="str">
        <f ca="1">IF(B203="","",_xlfn.XLOOKUP($B203,'Trang thiet bi'!#REF!,'Trang thiet bi'!B:B))</f>
        <v/>
      </c>
      <c r="D203" t="str">
        <f ca="1">IF(C203="","",_xlfn.XLOOKUP($B203,'Trang thiet bi'!#REF!,'Trang thiet bi'!C:C))</f>
        <v/>
      </c>
      <c r="E203">
        <v>31</v>
      </c>
      <c r="F203">
        <v>12</v>
      </c>
      <c r="G203">
        <v>2024</v>
      </c>
      <c r="H203" t="s">
        <v>307</v>
      </c>
    </row>
    <row r="204" spans="2:8" x14ac:dyDescent="0.2">
      <c r="B204" t="str">
        <f ca="1">IFERROR(MATCH($A$1,OFFSET('Trang thiet bi'!#REF!,'Nhãn KK'!$B203,0,1000),0)+'Nhãn KK'!$B203,"")</f>
        <v/>
      </c>
      <c r="C204" t="str">
        <f ca="1">IF(B204="","",_xlfn.XLOOKUP($B204,'Trang thiet bi'!#REF!,'Trang thiet bi'!B:B))</f>
        <v/>
      </c>
      <c r="D204" t="str">
        <f ca="1">IF(C204="","",_xlfn.XLOOKUP($B204,'Trang thiet bi'!#REF!,'Trang thiet bi'!C:C))</f>
        <v/>
      </c>
      <c r="E204">
        <v>31</v>
      </c>
      <c r="F204">
        <v>12</v>
      </c>
      <c r="G204">
        <v>2024</v>
      </c>
      <c r="H204" t="s">
        <v>307</v>
      </c>
    </row>
    <row r="205" spans="2:8" x14ac:dyDescent="0.2">
      <c r="B205" t="str">
        <f ca="1">IFERROR(MATCH($A$1,OFFSET('Trang thiet bi'!#REF!,'Nhãn KK'!$B204,0,1000),0)+'Nhãn KK'!$B204,"")</f>
        <v/>
      </c>
      <c r="C205" t="str">
        <f ca="1">IF(B205="","",_xlfn.XLOOKUP($B205,'Trang thiet bi'!#REF!,'Trang thiet bi'!B:B))</f>
        <v/>
      </c>
      <c r="D205" t="str">
        <f ca="1">IF(C205="","",_xlfn.XLOOKUP($B205,'Trang thiet bi'!#REF!,'Trang thiet bi'!C:C))</f>
        <v/>
      </c>
      <c r="E205">
        <v>31</v>
      </c>
      <c r="F205">
        <v>12</v>
      </c>
      <c r="G205">
        <v>2024</v>
      </c>
      <c r="H20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BA3E-8EA2-4EFF-9D78-5D038DE97C3F}">
  <sheetPr codeName="Sheet4"/>
  <dimension ref="A1:I30"/>
  <sheetViews>
    <sheetView zoomScaleNormal="100" workbookViewId="0">
      <selection activeCell="F31" sqref="F31"/>
    </sheetView>
  </sheetViews>
  <sheetFormatPr defaultRowHeight="15.75" x14ac:dyDescent="0.25"/>
  <cols>
    <col min="1" max="1" width="6.5703125" style="7" customWidth="1"/>
    <col min="2" max="2" width="20.85546875" style="7" customWidth="1"/>
    <col min="3" max="3" width="13.42578125" style="7" customWidth="1"/>
    <col min="4" max="4" width="9.140625" style="7"/>
    <col min="5" max="5" width="21.5703125" style="7" bestFit="1" customWidth="1"/>
    <col min="6" max="6" width="14" style="7" bestFit="1" customWidth="1"/>
    <col min="7" max="16384" width="9.140625" style="7"/>
  </cols>
  <sheetData>
    <row r="1" spans="1:9" x14ac:dyDescent="0.25">
      <c r="A1" s="82" t="s">
        <v>35</v>
      </c>
      <c r="B1" s="82"/>
      <c r="C1" s="82"/>
      <c r="D1" s="82"/>
      <c r="E1" s="82"/>
      <c r="F1" s="82"/>
      <c r="G1" s="82"/>
      <c r="H1" s="9"/>
      <c r="I1" s="9"/>
    </row>
    <row r="2" spans="1:9" x14ac:dyDescent="0.25">
      <c r="A2" s="8"/>
      <c r="B2" s="8"/>
      <c r="C2" s="8"/>
      <c r="D2" s="8"/>
      <c r="E2" s="8"/>
      <c r="F2" s="8"/>
      <c r="G2" s="8"/>
      <c r="H2" s="9"/>
      <c r="I2" s="9"/>
    </row>
    <row r="3" spans="1:9" x14ac:dyDescent="0.25">
      <c r="A3" s="83" t="s">
        <v>2</v>
      </c>
      <c r="B3" s="83" t="s">
        <v>36</v>
      </c>
      <c r="C3" s="83" t="s">
        <v>37</v>
      </c>
      <c r="D3" s="8"/>
      <c r="E3" s="10" t="s">
        <v>38</v>
      </c>
      <c r="F3" s="11" t="s">
        <v>39</v>
      </c>
    </row>
    <row r="4" spans="1:9" x14ac:dyDescent="0.25">
      <c r="A4" s="83"/>
      <c r="B4" s="83"/>
      <c r="C4" s="83"/>
      <c r="D4" s="12"/>
      <c r="E4" s="13" t="s">
        <v>267</v>
      </c>
      <c r="F4" s="13" t="s">
        <v>100</v>
      </c>
    </row>
    <row r="5" spans="1:9" x14ac:dyDescent="0.25">
      <c r="A5" s="14" t="s">
        <v>15</v>
      </c>
      <c r="B5" s="15" t="s">
        <v>42</v>
      </c>
      <c r="C5" s="16"/>
      <c r="D5" s="17"/>
      <c r="E5" s="13" t="s">
        <v>40</v>
      </c>
      <c r="F5" s="13" t="s">
        <v>41</v>
      </c>
    </row>
    <row r="6" spans="1:9" x14ac:dyDescent="0.25">
      <c r="A6" s="18">
        <v>1</v>
      </c>
      <c r="B6" s="16" t="s">
        <v>44</v>
      </c>
      <c r="C6" s="16" t="s">
        <v>45</v>
      </c>
      <c r="D6" s="17"/>
      <c r="E6" s="13" t="s">
        <v>43</v>
      </c>
      <c r="F6" s="13" t="s">
        <v>18</v>
      </c>
    </row>
    <row r="7" spans="1:9" x14ac:dyDescent="0.25">
      <c r="A7" s="18">
        <v>2</v>
      </c>
      <c r="B7" s="16" t="s">
        <v>48</v>
      </c>
      <c r="C7" s="16" t="s">
        <v>49</v>
      </c>
      <c r="D7" s="17"/>
      <c r="E7" s="13" t="s">
        <v>46</v>
      </c>
      <c r="F7" s="13" t="s">
        <v>47</v>
      </c>
    </row>
    <row r="8" spans="1:9" x14ac:dyDescent="0.25">
      <c r="A8" s="18">
        <v>3</v>
      </c>
      <c r="B8" s="16" t="s">
        <v>50</v>
      </c>
      <c r="C8" s="16" t="s">
        <v>51</v>
      </c>
      <c r="D8" s="17"/>
    </row>
    <row r="9" spans="1:9" x14ac:dyDescent="0.25">
      <c r="A9" s="18">
        <v>4</v>
      </c>
      <c r="B9" s="16" t="s">
        <v>54</v>
      </c>
      <c r="C9" s="16" t="s">
        <v>55</v>
      </c>
      <c r="D9" s="17"/>
      <c r="E9" s="15" t="s">
        <v>52</v>
      </c>
      <c r="F9" s="15" t="s">
        <v>53</v>
      </c>
    </row>
    <row r="10" spans="1:9" x14ac:dyDescent="0.25">
      <c r="A10" s="18">
        <v>5</v>
      </c>
      <c r="B10" s="16" t="s">
        <v>58</v>
      </c>
      <c r="C10" s="16" t="s">
        <v>59</v>
      </c>
      <c r="D10" s="17"/>
      <c r="E10" s="16" t="s">
        <v>56</v>
      </c>
      <c r="F10" s="16" t="s">
        <v>57</v>
      </c>
      <c r="H10" s="17"/>
      <c r="I10" s="17"/>
    </row>
    <row r="11" spans="1:9" x14ac:dyDescent="0.25">
      <c r="A11" s="18">
        <v>6</v>
      </c>
      <c r="B11" s="16" t="s">
        <v>62</v>
      </c>
      <c r="C11" s="16" t="s">
        <v>63</v>
      </c>
      <c r="D11" s="17"/>
      <c r="E11" s="16" t="s">
        <v>60</v>
      </c>
      <c r="F11" s="16" t="s">
        <v>61</v>
      </c>
      <c r="H11" s="17"/>
      <c r="I11" s="17"/>
    </row>
    <row r="12" spans="1:9" x14ac:dyDescent="0.25">
      <c r="A12" s="18">
        <v>7</v>
      </c>
      <c r="B12" s="16" t="s">
        <v>66</v>
      </c>
      <c r="C12" s="16" t="s">
        <v>67</v>
      </c>
      <c r="D12" s="17"/>
      <c r="E12" s="16" t="s">
        <v>64</v>
      </c>
      <c r="F12" s="16" t="s">
        <v>65</v>
      </c>
      <c r="H12" s="17"/>
      <c r="I12" s="17"/>
    </row>
    <row r="13" spans="1:9" x14ac:dyDescent="0.25">
      <c r="A13" s="18">
        <v>8</v>
      </c>
      <c r="B13" s="16" t="s">
        <v>68</v>
      </c>
      <c r="C13" s="16" t="s">
        <v>69</v>
      </c>
      <c r="D13" s="17"/>
      <c r="H13" s="17"/>
      <c r="I13" s="17"/>
    </row>
    <row r="14" spans="1:9" x14ac:dyDescent="0.25">
      <c r="A14" s="18">
        <v>9</v>
      </c>
      <c r="B14" s="16" t="s">
        <v>71</v>
      </c>
      <c r="C14" s="16" t="s">
        <v>72</v>
      </c>
      <c r="D14" s="17"/>
      <c r="E14" s="19" t="s">
        <v>70</v>
      </c>
      <c r="F14" s="3"/>
      <c r="H14" s="17"/>
      <c r="I14" s="17"/>
    </row>
    <row r="15" spans="1:9" x14ac:dyDescent="0.25">
      <c r="A15" s="18">
        <v>10</v>
      </c>
      <c r="B15" s="16" t="s">
        <v>73</v>
      </c>
      <c r="C15" s="16" t="s">
        <v>74</v>
      </c>
      <c r="D15" s="17"/>
      <c r="E15" s="13" t="s">
        <v>23</v>
      </c>
      <c r="F15" s="3"/>
      <c r="H15" s="17"/>
      <c r="I15" s="17"/>
    </row>
    <row r="16" spans="1:9" x14ac:dyDescent="0.25">
      <c r="A16" s="18">
        <v>11</v>
      </c>
      <c r="B16" s="16" t="s">
        <v>75</v>
      </c>
      <c r="C16" s="16" t="s">
        <v>76</v>
      </c>
      <c r="D16" s="17"/>
      <c r="E16" s="16" t="s">
        <v>1</v>
      </c>
      <c r="F16" s="3"/>
      <c r="G16" s="17"/>
      <c r="H16" s="17"/>
      <c r="I16" s="17"/>
    </row>
    <row r="17" spans="1:9" x14ac:dyDescent="0.25">
      <c r="A17" s="18">
        <v>12</v>
      </c>
      <c r="B17" s="3" t="s">
        <v>77</v>
      </c>
      <c r="C17" s="3" t="s">
        <v>78</v>
      </c>
      <c r="D17" s="17"/>
      <c r="G17" s="17"/>
      <c r="H17" s="17"/>
      <c r="I17" s="17"/>
    </row>
    <row r="18" spans="1:9" x14ac:dyDescent="0.25">
      <c r="A18" s="18">
        <v>13</v>
      </c>
      <c r="B18" s="3" t="s">
        <v>189</v>
      </c>
      <c r="C18" s="3" t="s">
        <v>184</v>
      </c>
      <c r="D18" s="21"/>
      <c r="E18" s="20" t="s">
        <v>79</v>
      </c>
      <c r="F18" s="10" t="s">
        <v>80</v>
      </c>
      <c r="G18" s="21"/>
      <c r="H18" s="22"/>
      <c r="I18" s="22"/>
    </row>
    <row r="19" spans="1:9" x14ac:dyDescent="0.25">
      <c r="A19" s="18">
        <v>14</v>
      </c>
      <c r="B19" s="3" t="s">
        <v>190</v>
      </c>
      <c r="C19" s="3" t="s">
        <v>182</v>
      </c>
      <c r="D19" s="21"/>
      <c r="E19" s="3" t="s">
        <v>204</v>
      </c>
      <c r="F19" s="3" t="s">
        <v>179</v>
      </c>
      <c r="G19" s="21"/>
      <c r="H19" s="22"/>
      <c r="I19" s="22"/>
    </row>
    <row r="20" spans="1:9" x14ac:dyDescent="0.25">
      <c r="A20" s="18">
        <v>15</v>
      </c>
      <c r="B20" s="3" t="s">
        <v>191</v>
      </c>
      <c r="C20" s="3" t="s">
        <v>181</v>
      </c>
      <c r="E20" s="3" t="s">
        <v>81</v>
      </c>
      <c r="F20" s="13" t="s">
        <v>82</v>
      </c>
    </row>
    <row r="21" spans="1:9" x14ac:dyDescent="0.25">
      <c r="A21" s="18">
        <v>16</v>
      </c>
      <c r="B21" s="3" t="s">
        <v>192</v>
      </c>
      <c r="C21" s="3" t="s">
        <v>187</v>
      </c>
      <c r="E21" s="3" t="s">
        <v>83</v>
      </c>
      <c r="F21" s="16" t="s">
        <v>95</v>
      </c>
    </row>
    <row r="22" spans="1:9" x14ac:dyDescent="0.25">
      <c r="A22" s="18">
        <v>17</v>
      </c>
      <c r="B22" s="3" t="s">
        <v>188</v>
      </c>
      <c r="C22" s="3" t="s">
        <v>188</v>
      </c>
      <c r="E22" s="3" t="s">
        <v>1</v>
      </c>
      <c r="F22" s="3" t="s">
        <v>178</v>
      </c>
    </row>
    <row r="23" spans="1:9" x14ac:dyDescent="0.25">
      <c r="A23" s="18">
        <v>18</v>
      </c>
      <c r="B23" s="3" t="s">
        <v>196</v>
      </c>
      <c r="C23" s="3" t="s">
        <v>185</v>
      </c>
    </row>
    <row r="24" spans="1:9" x14ac:dyDescent="0.25">
      <c r="A24" s="18">
        <v>19</v>
      </c>
      <c r="B24" s="3" t="s">
        <v>197</v>
      </c>
      <c r="C24" s="3" t="s">
        <v>186</v>
      </c>
    </row>
    <row r="25" spans="1:9" x14ac:dyDescent="0.25">
      <c r="A25" s="18">
        <v>20</v>
      </c>
      <c r="B25" s="3" t="s">
        <v>198</v>
      </c>
      <c r="C25" s="3" t="s">
        <v>199</v>
      </c>
    </row>
    <row r="26" spans="1:9" x14ac:dyDescent="0.25">
      <c r="A26" s="18">
        <v>21</v>
      </c>
      <c r="B26" s="3" t="s">
        <v>200</v>
      </c>
      <c r="C26" s="3" t="s">
        <v>183</v>
      </c>
    </row>
    <row r="27" spans="1:9" x14ac:dyDescent="0.25">
      <c r="A27" s="18">
        <v>22</v>
      </c>
      <c r="B27" s="46" t="s">
        <v>202</v>
      </c>
      <c r="C27" s="3" t="s">
        <v>201</v>
      </c>
    </row>
    <row r="28" spans="1:9" x14ac:dyDescent="0.25">
      <c r="A28" s="18">
        <v>23</v>
      </c>
      <c r="B28" s="3" t="s">
        <v>266</v>
      </c>
      <c r="C28" s="3" t="s">
        <v>124</v>
      </c>
    </row>
    <row r="29" spans="1:9" x14ac:dyDescent="0.25">
      <c r="A29" s="47" t="s">
        <v>167</v>
      </c>
      <c r="B29" s="20" t="s">
        <v>154</v>
      </c>
      <c r="C29" s="3"/>
    </row>
    <row r="30" spans="1:9" x14ac:dyDescent="0.25">
      <c r="A30" s="3">
        <v>1</v>
      </c>
      <c r="B30" s="3" t="s">
        <v>193</v>
      </c>
      <c r="C30" s="3" t="s">
        <v>180</v>
      </c>
    </row>
  </sheetData>
  <mergeCells count="4">
    <mergeCell ref="A1:G1"/>
    <mergeCell ref="A3:A4"/>
    <mergeCell ref="B3:B4"/>
    <mergeCell ref="C3:C4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a095dde-1280-45bb-88ec-5f6c2fbb2825">
      <Terms xmlns="http://schemas.microsoft.com/office/infopath/2007/PartnerControls"/>
    </lcf76f155ced4ddcb4097134ff3c332f>
    <TaxCatchAll xmlns="73cbe15e-0e0f-42b4-a7bb-7ef21fb38678" xsi:nil="true"/>
    <SharedWithUsers xmlns="73cbe15e-0e0f-42b4-a7bb-7ef21fb38678">
      <UserInfo>
        <DisplayName/>
        <AccountId xsi:nil="true"/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7C7A0FF1B3274F9F89474BC9BBECA2" ma:contentTypeVersion="18" ma:contentTypeDescription="Create a new document." ma:contentTypeScope="" ma:versionID="d01b4d560ea76f86dea6a24e7ff81a75">
  <xsd:schema xmlns:xsd="http://www.w3.org/2001/XMLSchema" xmlns:xs="http://www.w3.org/2001/XMLSchema" xmlns:p="http://schemas.microsoft.com/office/2006/metadata/properties" xmlns:ns2="aa095dde-1280-45bb-88ec-5f6c2fbb2825" xmlns:ns3="73cbe15e-0e0f-42b4-a7bb-7ef21fb38678" targetNamespace="http://schemas.microsoft.com/office/2006/metadata/properties" ma:root="true" ma:fieldsID="b178563c4acd2cee0cb75668fbd04468" ns2:_="" ns3:_="">
    <xsd:import namespace="aa095dde-1280-45bb-88ec-5f6c2fbb2825"/>
    <xsd:import namespace="73cbe15e-0e0f-42b4-a7bb-7ef21fb386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095dde-1280-45bb-88ec-5f6c2fbb28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ab00a23f-525f-4840-836b-22544f96324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cbe15e-0e0f-42b4-a7bb-7ef21fb3867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40e6e05-29bd-4379-a550-dc22ae986d0a}" ma:internalName="TaxCatchAll" ma:showField="CatchAllData" ma:web="73cbe15e-0e0f-42b4-a7bb-7ef21fb386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F38A11-0F00-415D-A117-879DE03FF3DD}">
  <ds:schemaRefs>
    <ds:schemaRef ds:uri="http://schemas.microsoft.com/office/2006/metadata/properties"/>
    <ds:schemaRef ds:uri="http://schemas.microsoft.com/office/infopath/2007/PartnerControls"/>
    <ds:schemaRef ds:uri="5a85aadd-4b76-4392-b392-b7a3bbd3dff8"/>
    <ds:schemaRef ds:uri="240b0645-b37d-48c0-8f24-69eb98634660"/>
    <ds:schemaRef ds:uri="aa095dde-1280-45bb-88ec-5f6c2fbb2825"/>
    <ds:schemaRef ds:uri="73cbe15e-0e0f-42b4-a7bb-7ef21fb38678"/>
  </ds:schemaRefs>
</ds:datastoreItem>
</file>

<file path=customXml/itemProps2.xml><?xml version="1.0" encoding="utf-8"?>
<ds:datastoreItem xmlns:ds="http://schemas.openxmlformats.org/officeDocument/2006/customXml" ds:itemID="{F412A9D0-6988-4F65-9C68-0B314A84C62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2A52D7-1F4D-49E2-83C9-4A72B7A7B0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095dde-1280-45bb-88ec-5f6c2fbb2825"/>
    <ds:schemaRef ds:uri="73cbe15e-0e0f-42b4-a7bb-7ef21fb386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Trang thiet bi</vt:lpstr>
      <vt:lpstr>Dán nhãn</vt:lpstr>
      <vt:lpstr>Nhãn KK</vt:lpstr>
      <vt:lpstr>Cách đọc mã</vt:lpstr>
      <vt:lpstr>'Cách đọc mã'!Print_Area</vt:lpstr>
      <vt:lpstr>'Trang thiet bi'!Print_Area</vt:lpstr>
      <vt:lpstr>'Dán nhãn'!Print_Titles</vt:lpstr>
      <vt:lpstr>'Trang thiet bi'!Print_Titles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Vũ Đình Tân</cp:lastModifiedBy>
  <cp:lastPrinted>2025-04-17T04:09:33Z</cp:lastPrinted>
  <dcterms:created xsi:type="dcterms:W3CDTF">2021-12-24T08:22:48Z</dcterms:created>
  <dcterms:modified xsi:type="dcterms:W3CDTF">2026-10-06T02:45:24Z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0x010100637C7A0FF1B3274F9F89474BC9BBECA2</vt:lpwstr>
  </property>
  <property fmtid="{D5CDD505-2E9C-101B-9397-08002B2CF9AE}" pid="3" name="MediaServiceImageTags">
    <vt:lpwstr/>
  </property>
  <property fmtid="{D5CDD505-2E9C-101B-9397-08002B2CF9AE}" pid="4" name="Order">
    <vt:r8>10249400</vt:r8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xd_Signature">
    <vt:bool>false</vt:bool>
  </property>
</Properties>
</file>